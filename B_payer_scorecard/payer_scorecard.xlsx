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corecard" sheetId="2" state="visible" r:id="rId2"/>
    <sheet name="Auth cohort" sheetId="3" state="visible" r:id="rId3"/>
    <sheet name="Served" sheetId="4" state="visible" r:id="rId4"/>
    <sheet name="PEF-to-chair" sheetId="5" state="visible" r:id="rId5"/>
    <sheet name="Medication mix" sheetId="6" state="visible" r:id="rId6"/>
    <sheet name="Alias audit" sheetId="7" state="visible" r:id="rId7"/>
    <sheet name="Auth maturity" sheetId="8" state="visible" r:id="rId8"/>
    <sheet name="Revision log" sheetId="9" state="visible" r:id="rId9"/>
    <sheet name="Q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"/>
    <numFmt numFmtId="166" formatCode="yyyy-mm-dd"/>
  </numFmts>
  <fonts count="5">
    <font>
      <name val="Calibri"/>
      <family val="2"/>
      <color theme="1"/>
      <sz val="11"/>
      <scheme val="minor"/>
    </font>
    <font>
      <b val="1"/>
    </font>
    <font/>
    <font>
      <b val="1"/>
      <color rgb="005C430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4D6"/>
      </patternFill>
    </fill>
    <fill>
      <patternFill patternType="solid">
        <fgColor rgb="001234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3" fillId="2" borderId="0" pivotButton="0" quotePrefix="0" xfId="0"/>
    <xf numFmtId="0" fontId="4" fillId="3" borderId="0" applyAlignment="1" pivotButton="0" quotePrefix="0" xfId="0">
      <alignment vertical="top" wrapText="1"/>
    </xf>
    <xf numFmtId="164" fontId="0" fillId="0" borderId="0" pivotButton="0" quotePrefix="0" xfId="0"/>
    <xf numFmtId="165" fontId="0" fillId="0" borderId="0" pivotButton="0" quotePrefix="0" xfId="0"/>
    <xf numFmtId="164" fontId="1" fillId="0" borderId="0" pivotButton="0" quotePrefix="0" xfId="0"/>
    <xf numFmtId="165" fontId="1" fillId="0" borderId="0" pivotButton="0" quotePrefix="0" xfId="0"/>
    <xf numFmtId="166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SYNTHETIC DEMONSTRATION - not operational, medical or financial guidance</t>
        </is>
      </c>
    </row>
    <row r="2">
      <c r="A2" s="2" t="inlineStr"/>
    </row>
    <row r="3">
      <c r="A3" s="3" t="inlineStr">
        <is>
          <t>Ten-payer quarterly scorecard - Coralline Infusion Network (fictional)</t>
        </is>
      </c>
    </row>
    <row r="4">
      <c r="A4" s="2" t="inlineStr">
        <is>
          <t>Data as of Oct 24, 2026. Quarters are half-open: Q2 = [Apr 1, Jul 1), Q3 = [Jul 1, Oct 1).</t>
        </is>
      </c>
    </row>
    <row r="5">
      <c r="A5" s="2" t="inlineStr"/>
    </row>
    <row r="6">
      <c r="A6" s="2" t="inlineStr">
        <is>
          <t>Tabs: Scorecard | Auth cohort | Served | PEF-to-chair | Medication mix | Alias audit | Auth maturity | Revision log | QA</t>
        </is>
      </c>
    </row>
    <row r="7">
      <c r="A7" s="2" t="inlineStr">
        <is>
          <t>Formulas are live: rates, changes and the NETWORKDAYS check recompute in Excel.</t>
        </is>
      </c>
    </row>
    <row r="8">
      <c r="A8" s="2" t="inlineStr"/>
    </row>
    <row r="9">
      <c r="A9" s="3" t="inlineStr">
        <is>
          <t>Definitions</t>
        </is>
      </c>
    </row>
    <row r="10">
      <c r="A10" s="2" t="inlineStr">
        <is>
          <t>New referred patients: distinct patients created in the quarter, payer at intake.</t>
        </is>
      </c>
    </row>
    <row r="11">
      <c r="A11" s="2" t="inlineStr">
        <is>
          <t>Authorization rate: approved / (approved + denied) for requests submitted in the quarter; pending shown separately.</t>
        </is>
      </c>
    </row>
    <row r="12">
      <c r="A12" s="2" t="inlineStr">
        <is>
          <t>Patients served: distinct patients with a treated visit, payer at the most recent treated visit in the window.</t>
        </is>
      </c>
    </row>
    <row r="13">
      <c r="A13" s="2" t="inlineStr">
        <is>
          <t>PEF-to-chair: NETWORKDAYS(order created, first treated visit), new-patient and new-therapy orders, first treated in the quarter.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>
      <c r="A1" s="4" t="inlineStr">
        <is>
          <t>SYNTHETIC DEMONSTRATION - not operational, medical or financial guidance | Coralline Infusion Network (fictional) | as of Oct 24, 2026</t>
        </is>
      </c>
    </row>
    <row r="3" ht="44" customHeight="1">
      <c r="A3" s="5" t="inlineStr">
        <is>
          <t>Payer (fictional)</t>
        </is>
      </c>
      <c r="B3" s="5" t="inlineStr">
        <is>
          <t>New patients Q2</t>
        </is>
      </c>
      <c r="C3" s="5" t="inlineStr">
        <is>
          <t>New patients Q3</t>
        </is>
      </c>
      <c r="D3" s="5" t="inlineStr">
        <is>
          <t>QoQ change</t>
        </is>
      </c>
      <c r="E3" s="5" t="inlineStr">
        <is>
          <t>PA requests Q3</t>
        </is>
      </c>
      <c r="F3" s="5" t="inlineStr">
        <is>
          <t>Approved Q3</t>
        </is>
      </c>
      <c r="G3" s="5" t="inlineStr">
        <is>
          <t>Denied Q3</t>
        </is>
      </c>
      <c r="H3" s="5" t="inlineStr">
        <is>
          <t>Pending Q3</t>
        </is>
      </c>
      <c r="I3" s="5" t="inlineStr">
        <is>
          <t>Approval rate Q3</t>
        </is>
      </c>
      <c r="J3" s="5" t="inlineStr">
        <is>
          <t>Approval rate Q2</t>
        </is>
      </c>
      <c r="K3" s="5" t="inlineStr">
        <is>
          <t>Change (pts)</t>
        </is>
      </c>
      <c r="L3" s="5" t="inlineStr">
        <is>
          <t>Served T12M</t>
        </is>
      </c>
      <c r="M3" s="5" t="inlineStr">
        <is>
          <t>Served prior T12M*</t>
        </is>
      </c>
      <c r="N3" s="5" t="inlineStr">
        <is>
          <t>Served change*</t>
        </is>
      </c>
      <c r="O3" s="5" t="inlineStr">
        <is>
          <t>PEF orders Q3</t>
        </is>
      </c>
      <c r="P3" s="5" t="inlineStr">
        <is>
          <t>PEF median Q3 (bus. days)</t>
        </is>
      </c>
      <c r="Q3" s="5" t="inlineStr">
        <is>
          <t>PEF mean Q3</t>
        </is>
      </c>
      <c r="R3" s="5" t="inlineStr">
        <is>
          <t>PEF P90 Q3</t>
        </is>
      </c>
    </row>
    <row r="4">
      <c r="A4" t="inlineStr">
        <is>
          <t>Heronview Health</t>
        </is>
      </c>
      <c r="B4" t="n">
        <v>61</v>
      </c>
      <c r="C4" t="n">
        <v>61</v>
      </c>
      <c r="D4" s="6">
        <f>IFERROR(C4/B4-1,"")</f>
        <v/>
      </c>
      <c r="E4" t="n">
        <v>75</v>
      </c>
      <c r="F4" t="n">
        <v>70</v>
      </c>
      <c r="G4" t="n">
        <v>5</v>
      </c>
      <c r="H4" t="n">
        <v>0</v>
      </c>
      <c r="I4" s="6">
        <f>IFERROR(F4/(F4+G4),"")</f>
        <v/>
      </c>
      <c r="J4" s="6" t="n">
        <v>0.9014084507042254</v>
      </c>
      <c r="K4" s="7">
        <f>IFERROR((I4-J4)*100,"")</f>
        <v/>
      </c>
      <c r="L4" t="n">
        <v>208</v>
      </c>
      <c r="M4" t="n">
        <v>149</v>
      </c>
      <c r="N4" s="6">
        <f>IFERROR(L4/M4-1,"")</f>
        <v/>
      </c>
      <c r="O4" t="n">
        <v>44</v>
      </c>
      <c r="P4" t="n">
        <v>20.5</v>
      </c>
      <c r="Q4" t="n">
        <v>19.5</v>
      </c>
      <c r="R4" t="n">
        <v>26</v>
      </c>
    </row>
    <row r="5">
      <c r="A5" t="inlineStr">
        <is>
          <t>Saltgrass Mutual</t>
        </is>
      </c>
      <c r="B5" t="n">
        <v>38</v>
      </c>
      <c r="C5" t="n">
        <v>28</v>
      </c>
      <c r="D5" s="6">
        <f>IFERROR(C5/B5-1,"")</f>
        <v/>
      </c>
      <c r="E5" t="n">
        <v>34</v>
      </c>
      <c r="F5" t="n">
        <v>32</v>
      </c>
      <c r="G5" t="n">
        <v>2</v>
      </c>
      <c r="H5" t="n">
        <v>0</v>
      </c>
      <c r="I5" s="6">
        <f>IFERROR(F5/(F5+G5),"")</f>
        <v/>
      </c>
      <c r="J5" s="6" t="n">
        <v>0.803921568627451</v>
      </c>
      <c r="K5" s="7">
        <f>IFERROR((I5-J5)*100,"")</f>
        <v/>
      </c>
      <c r="L5" t="n">
        <v>147</v>
      </c>
      <c r="M5" t="n">
        <v>105</v>
      </c>
      <c r="N5" s="6">
        <f>IFERROR(L5/M5-1,"")</f>
        <v/>
      </c>
      <c r="O5" t="n">
        <v>26</v>
      </c>
      <c r="P5" t="n">
        <v>18.5</v>
      </c>
      <c r="Q5" t="n">
        <v>20</v>
      </c>
      <c r="R5" t="n">
        <v>27</v>
      </c>
    </row>
    <row r="6">
      <c r="A6" t="inlineStr">
        <is>
          <t>Kestrel Shield Medicare Advantage</t>
        </is>
      </c>
      <c r="B6" t="n">
        <v>30</v>
      </c>
      <c r="C6" t="n">
        <v>37</v>
      </c>
      <c r="D6" s="6">
        <f>IFERROR(C6/B6-1,"")</f>
        <v/>
      </c>
      <c r="E6" t="n">
        <v>52</v>
      </c>
      <c r="F6" t="n">
        <v>43</v>
      </c>
      <c r="G6" t="n">
        <v>9</v>
      </c>
      <c r="H6" t="n">
        <v>0</v>
      </c>
      <c r="I6" s="6">
        <f>IFERROR(F6/(F6+G6),"")</f>
        <v/>
      </c>
      <c r="J6" s="6" t="n">
        <v>0.9130434782608695</v>
      </c>
      <c r="K6" s="7">
        <f>IFERROR((I6-J6)*100,"")</f>
        <v/>
      </c>
      <c r="L6" t="n">
        <v>148</v>
      </c>
      <c r="M6" t="n">
        <v>92</v>
      </c>
      <c r="N6" s="6">
        <f>IFERROR(L6/M6-1,"")</f>
        <v/>
      </c>
      <c r="O6" t="n">
        <v>23</v>
      </c>
      <c r="P6" t="n">
        <v>24</v>
      </c>
      <c r="Q6" t="n">
        <v>23</v>
      </c>
      <c r="R6" t="n">
        <v>30</v>
      </c>
    </row>
    <row r="7">
      <c r="A7" t="inlineStr">
        <is>
          <t>Brightfen Advantage</t>
        </is>
      </c>
      <c r="B7" t="n">
        <v>28</v>
      </c>
      <c r="C7" t="n">
        <v>29</v>
      </c>
      <c r="D7" s="6">
        <f>IFERROR(C7/B7-1,"")</f>
        <v/>
      </c>
      <c r="E7" t="n">
        <v>40</v>
      </c>
      <c r="F7" t="n">
        <v>30</v>
      </c>
      <c r="G7" t="n">
        <v>9</v>
      </c>
      <c r="H7" t="n">
        <v>1</v>
      </c>
      <c r="I7" s="6">
        <f>IFERROR(F7/(F7+G7),"")</f>
        <v/>
      </c>
      <c r="J7" s="6" t="n">
        <v>0.851063829787234</v>
      </c>
      <c r="K7" s="7">
        <f>IFERROR((I7-J7)*100,"")</f>
        <v/>
      </c>
      <c r="L7" t="n">
        <v>125</v>
      </c>
      <c r="M7" t="n">
        <v>67</v>
      </c>
      <c r="N7" s="6">
        <f>IFERROR(L7/M7-1,"")</f>
        <v/>
      </c>
      <c r="O7" t="n">
        <v>29</v>
      </c>
      <c r="P7" t="n">
        <v>25</v>
      </c>
      <c r="Q7" t="n">
        <v>26.6</v>
      </c>
      <c r="R7" t="n">
        <v>36</v>
      </c>
    </row>
    <row r="8">
      <c r="A8" t="inlineStr">
        <is>
          <t>Sandmere Medicaid Plan</t>
        </is>
      </c>
      <c r="B8" t="n">
        <v>29</v>
      </c>
      <c r="C8" t="n">
        <v>21</v>
      </c>
      <c r="D8" s="6">
        <f>IFERROR(C8/B8-1,"")</f>
        <v/>
      </c>
      <c r="E8" t="n">
        <v>40</v>
      </c>
      <c r="F8" t="n">
        <v>32</v>
      </c>
      <c r="G8" t="n">
        <v>7</v>
      </c>
      <c r="H8" t="n">
        <v>1</v>
      </c>
      <c r="I8" s="6">
        <f>IFERROR(F8/(F8+G8),"")</f>
        <v/>
      </c>
      <c r="J8" s="6" t="n">
        <v>0.75</v>
      </c>
      <c r="K8" s="7">
        <f>IFERROR((I8-J8)*100,"")</f>
        <v/>
      </c>
      <c r="L8" t="n">
        <v>95</v>
      </c>
      <c r="M8" t="n">
        <v>56</v>
      </c>
      <c r="N8" s="6">
        <f>IFERROR(L8/M8-1,"")</f>
        <v/>
      </c>
      <c r="O8" t="n">
        <v>21</v>
      </c>
      <c r="P8" t="n">
        <v>24</v>
      </c>
      <c r="Q8" t="n">
        <v>27</v>
      </c>
      <c r="R8" t="n">
        <v>41</v>
      </c>
    </row>
    <row r="9">
      <c r="A9" t="inlineStr">
        <is>
          <t>Cobaltine Commercial</t>
        </is>
      </c>
      <c r="B9" t="n">
        <v>23</v>
      </c>
      <c r="C9" t="n">
        <v>19</v>
      </c>
      <c r="D9" s="6">
        <f>IFERROR(C9/B9-1,"")</f>
        <v/>
      </c>
      <c r="E9" t="n">
        <v>28</v>
      </c>
      <c r="F9" t="n">
        <v>28</v>
      </c>
      <c r="G9" t="n">
        <v>0</v>
      </c>
      <c r="H9" t="n">
        <v>0</v>
      </c>
      <c r="I9" s="6">
        <f>IFERROR(F9/(F9+G9),"")</f>
        <v/>
      </c>
      <c r="J9" s="6" t="n">
        <v>0.9375</v>
      </c>
      <c r="K9" s="7">
        <f>IFERROR((I9-J9)*100,"")</f>
        <v/>
      </c>
      <c r="L9" t="n">
        <v>95</v>
      </c>
      <c r="M9" t="n">
        <v>74</v>
      </c>
      <c r="N9" s="6">
        <f>IFERROR(L9/M9-1,"")</f>
        <v/>
      </c>
      <c r="O9" t="n">
        <v>16</v>
      </c>
      <c r="P9" t="n">
        <v>18</v>
      </c>
      <c r="Q9" t="n">
        <v>18.8</v>
      </c>
      <c r="R9" t="n">
        <v>24</v>
      </c>
    </row>
    <row r="10">
      <c r="A10" t="inlineStr">
        <is>
          <t>Ospreyline Senior</t>
        </is>
      </c>
      <c r="B10" t="n">
        <v>29</v>
      </c>
      <c r="C10" t="n">
        <v>31</v>
      </c>
      <c r="D10" s="6">
        <f>IFERROR(C10/B10-1,"")</f>
        <v/>
      </c>
      <c r="E10" t="n">
        <v>45</v>
      </c>
      <c r="F10" t="n">
        <v>38</v>
      </c>
      <c r="G10" t="n">
        <v>7</v>
      </c>
      <c r="H10" t="n">
        <v>0</v>
      </c>
      <c r="I10" s="6">
        <f>IFERROR(F10/(F10+G10),"")</f>
        <v/>
      </c>
      <c r="J10" s="6" t="n">
        <v>0.717948717948718</v>
      </c>
      <c r="K10" s="7">
        <f>IFERROR((I10-J10)*100,"")</f>
        <v/>
      </c>
      <c r="L10" t="n">
        <v>106</v>
      </c>
      <c r="M10" t="n">
        <v>61</v>
      </c>
      <c r="N10" s="6">
        <f>IFERROR(L10/M10-1,"")</f>
        <v/>
      </c>
      <c r="O10" t="n">
        <v>29</v>
      </c>
      <c r="P10" t="n">
        <v>22</v>
      </c>
      <c r="Q10" t="n">
        <v>23</v>
      </c>
      <c r="R10" t="n">
        <v>32</v>
      </c>
    </row>
    <row r="11">
      <c r="A11" t="inlineStr">
        <is>
          <t>Driftwell Health Alliance</t>
        </is>
      </c>
      <c r="B11" t="n">
        <v>19</v>
      </c>
      <c r="C11" t="n">
        <v>24</v>
      </c>
      <c r="D11" s="6">
        <f>IFERROR(C11/B11-1,"")</f>
        <v/>
      </c>
      <c r="E11" t="n">
        <v>29</v>
      </c>
      <c r="F11" t="n">
        <v>25</v>
      </c>
      <c r="G11" t="n">
        <v>4</v>
      </c>
      <c r="H11" t="n">
        <v>0</v>
      </c>
      <c r="I11" s="6">
        <f>IFERROR(F11/(F11+G11),"")</f>
        <v/>
      </c>
      <c r="J11" s="6" t="n">
        <v>0.8181818181818182</v>
      </c>
      <c r="K11" s="7">
        <f>IFERROR((I11-J11)*100,"")</f>
        <v/>
      </c>
      <c r="L11" t="n">
        <v>101</v>
      </c>
      <c r="M11" t="n">
        <v>71</v>
      </c>
      <c r="N11" s="6">
        <f>IFERROR(L11/M11-1,"")</f>
        <v/>
      </c>
      <c r="O11" t="n">
        <v>19</v>
      </c>
      <c r="P11" t="n">
        <v>21</v>
      </c>
      <c r="Q11" t="n">
        <v>21.4</v>
      </c>
      <c r="R11" t="n">
        <v>28</v>
      </c>
    </row>
    <row r="12">
      <c r="A12" t="inlineStr">
        <is>
          <t>Fernhollow Care</t>
        </is>
      </c>
      <c r="B12" t="n">
        <v>16</v>
      </c>
      <c r="C12" t="n">
        <v>10</v>
      </c>
      <c r="D12" s="6">
        <f>IFERROR(C12/B12-1,"")</f>
        <v/>
      </c>
      <c r="E12" t="n">
        <v>20</v>
      </c>
      <c r="F12" t="n">
        <v>17</v>
      </c>
      <c r="G12" t="n">
        <v>3</v>
      </c>
      <c r="H12" t="n">
        <v>0</v>
      </c>
      <c r="I12" s="6">
        <f>IFERROR(F12/(F12+G12),"")</f>
        <v/>
      </c>
      <c r="J12" s="6" t="n">
        <v>0.7692307692307693</v>
      </c>
      <c r="K12" s="7">
        <f>IFERROR((I12-J12)*100,"")</f>
        <v/>
      </c>
      <c r="L12" t="n">
        <v>48</v>
      </c>
      <c r="M12" t="n">
        <v>42</v>
      </c>
      <c r="N12" s="6">
        <f>IFERROR(L12/M12-1,"")</f>
        <v/>
      </c>
      <c r="O12" t="n">
        <v>11</v>
      </c>
      <c r="P12" t="n">
        <v>30</v>
      </c>
      <c r="Q12" t="n">
        <v>30.7</v>
      </c>
      <c r="R12" t="n">
        <v>45</v>
      </c>
    </row>
    <row r="13">
      <c r="A13" t="inlineStr">
        <is>
          <t>Quillmont Federal Medicare</t>
        </is>
      </c>
      <c r="B13" t="n">
        <v>20</v>
      </c>
      <c r="C13" t="n">
        <v>18</v>
      </c>
      <c r="D13" s="6">
        <f>IFERROR(C13/B13-1,"")</f>
        <v/>
      </c>
      <c r="E13" t="n">
        <v>7</v>
      </c>
      <c r="F13" t="n">
        <v>7</v>
      </c>
      <c r="G13" t="n">
        <v>0</v>
      </c>
      <c r="H13" t="n">
        <v>0</v>
      </c>
      <c r="I13" s="6">
        <f>IFERROR(F13/(F13+G13),"")</f>
        <v/>
      </c>
      <c r="J13" s="6" t="n">
        <v>0.8888888888888888</v>
      </c>
      <c r="K13" s="7">
        <f>IFERROR((I13-J13)*100,"")</f>
        <v/>
      </c>
      <c r="L13" t="n">
        <v>70</v>
      </c>
      <c r="M13" t="n">
        <v>52</v>
      </c>
      <c r="N13" s="6">
        <f>IFERROR(L13/M13-1,"")</f>
        <v/>
      </c>
      <c r="O13" t="n">
        <v>15</v>
      </c>
      <c r="P13" t="n">
        <v>12</v>
      </c>
      <c r="Q13" t="n">
        <v>14.7</v>
      </c>
      <c r="R13" t="n">
        <v>23</v>
      </c>
    </row>
    <row r="14">
      <c r="A14" t="inlineStr">
        <is>
          <t>Other / small plans</t>
        </is>
      </c>
      <c r="B14" t="n">
        <v>39</v>
      </c>
      <c r="C14" t="n">
        <v>38</v>
      </c>
      <c r="D14" s="6">
        <f>IFERROR(C14/B14-1,"")</f>
        <v/>
      </c>
      <c r="E14" t="n">
        <v>38</v>
      </c>
      <c r="F14" t="n">
        <v>35</v>
      </c>
      <c r="G14" t="n">
        <v>3</v>
      </c>
      <c r="H14" t="n">
        <v>0</v>
      </c>
      <c r="I14" s="6">
        <f>IFERROR(F14/(F14+G14),"")</f>
        <v/>
      </c>
      <c r="J14" s="6" t="n">
        <v>0.875</v>
      </c>
      <c r="K14" s="7">
        <f>IFERROR((I14-J14)*100,"")</f>
        <v/>
      </c>
      <c r="L14" t="n">
        <v>144</v>
      </c>
      <c r="M14" t="n">
        <v>93</v>
      </c>
      <c r="N14" s="6">
        <f>IFERROR(L14/M14-1,"")</f>
        <v/>
      </c>
      <c r="O14" t="n">
        <v>30</v>
      </c>
      <c r="P14" t="n">
        <v>18</v>
      </c>
      <c r="Q14" t="n">
        <v>19.4</v>
      </c>
      <c r="R14" t="n">
        <v>28</v>
      </c>
    </row>
    <row r="15">
      <c r="A15" t="inlineStr">
        <is>
          <t>Unmapped alias (pending review)</t>
        </is>
      </c>
      <c r="B15" t="n">
        <v>0</v>
      </c>
      <c r="C15" t="n">
        <v>0</v>
      </c>
      <c r="D15" s="6">
        <f>IFERROR(C15/B15-1,"")</f>
        <v/>
      </c>
      <c r="E15" t="n">
        <v>0</v>
      </c>
      <c r="F15" t="n">
        <v>0</v>
      </c>
      <c r="G15" t="n">
        <v>0</v>
      </c>
      <c r="H15" t="n">
        <v>0</v>
      </c>
      <c r="I15" s="6">
        <f>IFERROR(F15/(F15+G15),"")</f>
        <v/>
      </c>
      <c r="J15" s="6" t="n"/>
      <c r="K15" s="7">
        <f>IFERROR((I15-J15)*100,"")</f>
        <v/>
      </c>
      <c r="L15" t="n">
        <v>3</v>
      </c>
      <c r="M15" t="n">
        <v>2</v>
      </c>
      <c r="N15" s="6">
        <f>IFERROR(L15/M15-1,"")</f>
        <v/>
      </c>
      <c r="O15" t="n">
        <v>0</v>
      </c>
    </row>
    <row r="16">
      <c r="A16" t="inlineStr">
        <is>
          <t>No coverage on file at event</t>
        </is>
      </c>
      <c r="B16" t="n">
        <v>0</v>
      </c>
      <c r="C16" t="n">
        <v>0</v>
      </c>
      <c r="D16" s="6">
        <f>IFERROR(C16/B16-1,"")</f>
        <v/>
      </c>
      <c r="E16" t="n">
        <v>0</v>
      </c>
      <c r="F16" t="n">
        <v>0</v>
      </c>
      <c r="G16" t="n">
        <v>0</v>
      </c>
      <c r="H16" t="n">
        <v>0</v>
      </c>
      <c r="I16" s="6">
        <f>IFERROR(F16/(F16+G16),"")</f>
        <v/>
      </c>
      <c r="J16" s="6" t="n"/>
      <c r="K16" s="7">
        <f>IFERROR((I16-J16)*100,"")</f>
        <v/>
      </c>
      <c r="L16" t="n">
        <v>1</v>
      </c>
      <c r="M16" t="n">
        <v>0</v>
      </c>
      <c r="N16" s="6">
        <f>IFERROR(L16/M16-1,"")</f>
        <v/>
      </c>
      <c r="O16" t="n">
        <v>0</v>
      </c>
    </row>
    <row r="17">
      <c r="A17" s="3" t="inlineStr">
        <is>
          <t>All payers</t>
        </is>
      </c>
      <c r="B17" s="3" t="n">
        <v>332</v>
      </c>
      <c r="C17" s="3" t="n">
        <v>316</v>
      </c>
      <c r="D17" s="8">
        <f>IFERROR(C17/B17-1,"")</f>
        <v/>
      </c>
      <c r="E17" s="3" t="n">
        <v>408</v>
      </c>
      <c r="F17" s="3" t="n">
        <v>357</v>
      </c>
      <c r="G17" s="3" t="n">
        <v>49</v>
      </c>
      <c r="H17" s="3" t="n">
        <v>2</v>
      </c>
      <c r="I17" s="8">
        <f>IFERROR(F17/(F17+G17),"")</f>
        <v/>
      </c>
      <c r="J17" s="8" t="n">
        <v>0.8416289592760181</v>
      </c>
      <c r="K17" s="9">
        <f>IFERROR((I17-J17)*100,"")</f>
        <v/>
      </c>
      <c r="L17" s="3" t="n">
        <v>1291</v>
      </c>
      <c r="M17" s="3" t="n">
        <v>864</v>
      </c>
      <c r="N17" s="8">
        <f>IFERROR(L17/M17-1,"")</f>
        <v/>
      </c>
      <c r="O17" s="3" t="n">
        <v>263</v>
      </c>
      <c r="P17" s="3" t="n">
        <v>21</v>
      </c>
      <c r="Q17" s="3" t="n">
        <v>21.9</v>
      </c>
      <c r="R17" s="3" t="n">
        <v>32</v>
      </c>
    </row>
    <row r="19">
      <c r="A19" t="inlineStr">
        <is>
          <t>* Prior window includes the synthetic network's ramp-up (data starts July 2024).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4" t="inlineStr">
        <is>
          <t>SYNTHETIC DEMONSTRATION - not operational, medical or financial guidance | Coralline Infusion Network (fictional) | as of Oct 24, 2026</t>
        </is>
      </c>
    </row>
    <row r="3" ht="44" customHeight="1">
      <c r="A3" s="5" t="inlineStr">
        <is>
          <t>Quarter (requested)</t>
        </is>
      </c>
      <c r="B3" s="5" t="inlineStr">
        <is>
          <t>Payer</t>
        </is>
      </c>
      <c r="C3" s="5" t="inlineStr">
        <is>
          <t>Requests</t>
        </is>
      </c>
      <c r="D3" s="5" t="inlineStr">
        <is>
          <t>Appeals</t>
        </is>
      </c>
      <c r="E3" s="5" t="inlineStr">
        <is>
          <t>Approved</t>
        </is>
      </c>
      <c r="F3" s="5" t="inlineStr">
        <is>
          <t>Denied</t>
        </is>
      </c>
      <c r="G3" s="5" t="inlineStr">
        <is>
          <t>Pending</t>
        </is>
      </c>
      <c r="H3" s="5" t="inlineStr">
        <is>
          <t>Approval rate</t>
        </is>
      </c>
    </row>
    <row r="4">
      <c r="A4" t="inlineStr">
        <is>
          <t>Q2 2026</t>
        </is>
      </c>
      <c r="B4" t="inlineStr">
        <is>
          <t>Heronview Health</t>
        </is>
      </c>
      <c r="C4" t="n">
        <v>71</v>
      </c>
      <c r="D4" t="n">
        <v>2</v>
      </c>
      <c r="E4" t="n">
        <v>64</v>
      </c>
      <c r="F4" t="n">
        <v>7</v>
      </c>
      <c r="G4" t="n">
        <v>0</v>
      </c>
      <c r="H4" s="6">
        <f>IFERROR(E4/(E4+F4),"")</f>
        <v/>
      </c>
    </row>
    <row r="5">
      <c r="A5" t="inlineStr">
        <is>
          <t>Q2 2026</t>
        </is>
      </c>
      <c r="B5" t="inlineStr">
        <is>
          <t>Saltgrass Mutual</t>
        </is>
      </c>
      <c r="C5" t="n">
        <v>51</v>
      </c>
      <c r="D5" t="n">
        <v>5</v>
      </c>
      <c r="E5" t="n">
        <v>41</v>
      </c>
      <c r="F5" t="n">
        <v>10</v>
      </c>
      <c r="G5" t="n">
        <v>0</v>
      </c>
      <c r="H5" s="6">
        <f>IFERROR(E5/(E5+F5),"")</f>
        <v/>
      </c>
    </row>
    <row r="6">
      <c r="A6" t="inlineStr">
        <is>
          <t>Q2 2026</t>
        </is>
      </c>
      <c r="B6" t="inlineStr">
        <is>
          <t>Kestrel Shield Medicare Advantage</t>
        </is>
      </c>
      <c r="C6" t="n">
        <v>46</v>
      </c>
      <c r="D6" t="n">
        <v>1</v>
      </c>
      <c r="E6" t="n">
        <v>42</v>
      </c>
      <c r="F6" t="n">
        <v>4</v>
      </c>
      <c r="G6" t="n">
        <v>0</v>
      </c>
      <c r="H6" s="6">
        <f>IFERROR(E6/(E6+F6),"")</f>
        <v/>
      </c>
    </row>
    <row r="7">
      <c r="A7" t="inlineStr">
        <is>
          <t>Q2 2026</t>
        </is>
      </c>
      <c r="B7" t="inlineStr">
        <is>
          <t>Brightfen Advantage</t>
        </is>
      </c>
      <c r="C7" t="n">
        <v>47</v>
      </c>
      <c r="D7" t="n">
        <v>4</v>
      </c>
      <c r="E7" t="n">
        <v>40</v>
      </c>
      <c r="F7" t="n">
        <v>7</v>
      </c>
      <c r="G7" t="n">
        <v>0</v>
      </c>
      <c r="H7" s="6">
        <f>IFERROR(E7/(E7+F7),"")</f>
        <v/>
      </c>
    </row>
    <row r="8">
      <c r="A8" t="inlineStr">
        <is>
          <t>Q2 2026</t>
        </is>
      </c>
      <c r="B8" t="inlineStr">
        <is>
          <t>Sandmere Medicaid Plan</t>
        </is>
      </c>
      <c r="C8" t="n">
        <v>40</v>
      </c>
      <c r="D8" t="n">
        <v>5</v>
      </c>
      <c r="E8" t="n">
        <v>30</v>
      </c>
      <c r="F8" t="n">
        <v>10</v>
      </c>
      <c r="G8" t="n">
        <v>0</v>
      </c>
      <c r="H8" s="6">
        <f>IFERROR(E8/(E8+F8),"")</f>
        <v/>
      </c>
    </row>
    <row r="9">
      <c r="A9" t="inlineStr">
        <is>
          <t>Q2 2026</t>
        </is>
      </c>
      <c r="B9" t="inlineStr">
        <is>
          <t>Cobaltine Commercial</t>
        </is>
      </c>
      <c r="C9" t="n">
        <v>32</v>
      </c>
      <c r="D9" t="n">
        <v>0</v>
      </c>
      <c r="E9" t="n">
        <v>30</v>
      </c>
      <c r="F9" t="n">
        <v>2</v>
      </c>
      <c r="G9" t="n">
        <v>0</v>
      </c>
      <c r="H9" s="6">
        <f>IFERROR(E9/(E9+F9),"")</f>
        <v/>
      </c>
    </row>
    <row r="10">
      <c r="A10" t="inlineStr">
        <is>
          <t>Q2 2026</t>
        </is>
      </c>
      <c r="B10" t="inlineStr">
        <is>
          <t>Ospreyline Senior</t>
        </is>
      </c>
      <c r="C10" t="n">
        <v>39</v>
      </c>
      <c r="D10" t="n">
        <v>4</v>
      </c>
      <c r="E10" t="n">
        <v>28</v>
      </c>
      <c r="F10" t="n">
        <v>11</v>
      </c>
      <c r="G10" t="n">
        <v>0</v>
      </c>
      <c r="H10" s="6">
        <f>IFERROR(E10/(E10+F10),"")</f>
        <v/>
      </c>
    </row>
    <row r="11">
      <c r="A11" t="inlineStr">
        <is>
          <t>Q2 2026</t>
        </is>
      </c>
      <c r="B11" t="inlineStr">
        <is>
          <t>Driftwell Health Alliance</t>
        </is>
      </c>
      <c r="C11" t="n">
        <v>33</v>
      </c>
      <c r="D11" t="n">
        <v>5</v>
      </c>
      <c r="E11" t="n">
        <v>27</v>
      </c>
      <c r="F11" t="n">
        <v>6</v>
      </c>
      <c r="G11" t="n">
        <v>0</v>
      </c>
      <c r="H11" s="6">
        <f>IFERROR(E11/(E11+F11),"")</f>
        <v/>
      </c>
    </row>
    <row r="12">
      <c r="A12" t="inlineStr">
        <is>
          <t>Q2 2026</t>
        </is>
      </c>
      <c r="B12" t="inlineStr">
        <is>
          <t>Fernhollow Care</t>
        </is>
      </c>
      <c r="C12" t="n">
        <v>26</v>
      </c>
      <c r="D12" t="n">
        <v>2</v>
      </c>
      <c r="E12" t="n">
        <v>20</v>
      </c>
      <c r="F12" t="n">
        <v>6</v>
      </c>
      <c r="G12" t="n">
        <v>0</v>
      </c>
      <c r="H12" s="6">
        <f>IFERROR(E12/(E12+F12),"")</f>
        <v/>
      </c>
    </row>
    <row r="13">
      <c r="A13" t="inlineStr">
        <is>
          <t>Q2 2026</t>
        </is>
      </c>
      <c r="B13" t="inlineStr">
        <is>
          <t>Quillmont Federal Medicare</t>
        </is>
      </c>
      <c r="C13" t="n">
        <v>9</v>
      </c>
      <c r="D13" t="n">
        <v>0</v>
      </c>
      <c r="E13" t="n">
        <v>8</v>
      </c>
      <c r="F13" t="n">
        <v>1</v>
      </c>
      <c r="G13" t="n">
        <v>0</v>
      </c>
      <c r="H13" s="6">
        <f>IFERROR(E13/(E13+F13),"")</f>
        <v/>
      </c>
    </row>
    <row r="14">
      <c r="A14" t="inlineStr">
        <is>
          <t>Q2 2026</t>
        </is>
      </c>
      <c r="B14" t="inlineStr">
        <is>
          <t>Other / small plans</t>
        </is>
      </c>
      <c r="C14" t="n">
        <v>48</v>
      </c>
      <c r="D14" t="n">
        <v>3</v>
      </c>
      <c r="E14" t="n">
        <v>42</v>
      </c>
      <c r="F14" t="n">
        <v>6</v>
      </c>
      <c r="G14" t="n">
        <v>0</v>
      </c>
      <c r="H14" s="6">
        <f>IFERROR(E14/(E14+F14),"")</f>
        <v/>
      </c>
    </row>
    <row r="15">
      <c r="A15" t="inlineStr">
        <is>
          <t>Q3 2026</t>
        </is>
      </c>
      <c r="B15" t="inlineStr">
        <is>
          <t>Heronview Health</t>
        </is>
      </c>
      <c r="C15" t="n">
        <v>75</v>
      </c>
      <c r="D15" t="n">
        <v>3</v>
      </c>
      <c r="E15" t="n">
        <v>70</v>
      </c>
      <c r="F15" t="n">
        <v>5</v>
      </c>
      <c r="G15" t="n">
        <v>0</v>
      </c>
      <c r="H15" s="6">
        <f>IFERROR(E17/(E17+F17),"")</f>
        <v/>
      </c>
    </row>
    <row r="16">
      <c r="A16" t="inlineStr">
        <is>
          <t>Q3 2026</t>
        </is>
      </c>
      <c r="B16" t="inlineStr">
        <is>
          <t>Saltgrass Mutual</t>
        </is>
      </c>
      <c r="C16" t="n">
        <v>34</v>
      </c>
      <c r="D16" t="n">
        <v>1</v>
      </c>
      <c r="E16" t="n">
        <v>32</v>
      </c>
      <c r="F16" t="n">
        <v>2</v>
      </c>
      <c r="G16" t="n">
        <v>0</v>
      </c>
      <c r="H16" s="6">
        <f>IFERROR(E18/(E18+F18),"")</f>
        <v/>
      </c>
    </row>
    <row r="17">
      <c r="A17" t="inlineStr">
        <is>
          <t>Q3 2026</t>
        </is>
      </c>
      <c r="B17" t="inlineStr">
        <is>
          <t>Kestrel Shield Medicare Advantage</t>
        </is>
      </c>
      <c r="C17" t="n">
        <v>52</v>
      </c>
      <c r="D17" t="n">
        <v>2</v>
      </c>
      <c r="E17" t="n">
        <v>43</v>
      </c>
      <c r="F17" t="n">
        <v>9</v>
      </c>
      <c r="G17" t="n">
        <v>0</v>
      </c>
      <c r="H17" s="6">
        <f>IFERROR(E19/(E19+F19),"")</f>
        <v/>
      </c>
    </row>
    <row r="18">
      <c r="A18" t="inlineStr">
        <is>
          <t>Q3 2026</t>
        </is>
      </c>
      <c r="B18" t="inlineStr">
        <is>
          <t>Brightfen Advantage</t>
        </is>
      </c>
      <c r="C18" t="n">
        <v>40</v>
      </c>
      <c r="D18" t="n">
        <v>6</v>
      </c>
      <c r="E18" t="n">
        <v>30</v>
      </c>
      <c r="F18" t="n">
        <v>9</v>
      </c>
      <c r="G18" t="n">
        <v>1</v>
      </c>
      <c r="H18" s="6">
        <f>IFERROR(E20/(E20+F20),"")</f>
        <v/>
      </c>
    </row>
    <row r="19">
      <c r="A19" t="inlineStr">
        <is>
          <t>Q3 2026</t>
        </is>
      </c>
      <c r="B19" t="inlineStr">
        <is>
          <t>Sandmere Medicaid Plan</t>
        </is>
      </c>
      <c r="C19" t="n">
        <v>40</v>
      </c>
      <c r="D19" t="n">
        <v>6</v>
      </c>
      <c r="E19" t="n">
        <v>32</v>
      </c>
      <c r="F19" t="n">
        <v>7</v>
      </c>
      <c r="G19" t="n">
        <v>1</v>
      </c>
      <c r="H19" s="6">
        <f>IFERROR(E21/(E21+F21),"")</f>
        <v/>
      </c>
    </row>
    <row r="20">
      <c r="A20" t="inlineStr">
        <is>
          <t>Q3 2026</t>
        </is>
      </c>
      <c r="B20" t="inlineStr">
        <is>
          <t>Cobaltine Commercial</t>
        </is>
      </c>
      <c r="C20" t="n">
        <v>28</v>
      </c>
      <c r="D20" t="n">
        <v>0</v>
      </c>
      <c r="E20" t="n">
        <v>28</v>
      </c>
      <c r="F20" t="n">
        <v>0</v>
      </c>
      <c r="G20" t="n">
        <v>0</v>
      </c>
      <c r="H20" s="6">
        <f>IFERROR(E22/(E22+F22),"")</f>
        <v/>
      </c>
    </row>
    <row r="21">
      <c r="A21" t="inlineStr">
        <is>
          <t>Q3 2026</t>
        </is>
      </c>
      <c r="B21" t="inlineStr">
        <is>
          <t>Ospreyline Senior</t>
        </is>
      </c>
      <c r="C21" t="n">
        <v>45</v>
      </c>
      <c r="D21" t="n">
        <v>3</v>
      </c>
      <c r="E21" t="n">
        <v>38</v>
      </c>
      <c r="F21" t="n">
        <v>7</v>
      </c>
      <c r="G21" t="n">
        <v>0</v>
      </c>
      <c r="H21" s="6">
        <f>IFERROR(E23/(E23+F23),"")</f>
        <v/>
      </c>
    </row>
    <row r="22">
      <c r="A22" t="inlineStr">
        <is>
          <t>Q3 2026</t>
        </is>
      </c>
      <c r="B22" t="inlineStr">
        <is>
          <t>Driftwell Health Alliance</t>
        </is>
      </c>
      <c r="C22" t="n">
        <v>29</v>
      </c>
      <c r="D22" t="n">
        <v>1</v>
      </c>
      <c r="E22" t="n">
        <v>25</v>
      </c>
      <c r="F22" t="n">
        <v>4</v>
      </c>
      <c r="G22" t="n">
        <v>0</v>
      </c>
      <c r="H22" s="6">
        <f>IFERROR(E24/(E24+F24),"")</f>
        <v/>
      </c>
    </row>
    <row r="23">
      <c r="A23" t="inlineStr">
        <is>
          <t>Q3 2026</t>
        </is>
      </c>
      <c r="B23" t="inlineStr">
        <is>
          <t>Fernhollow Care</t>
        </is>
      </c>
      <c r="C23" t="n">
        <v>20</v>
      </c>
      <c r="D23" t="n">
        <v>3</v>
      </c>
      <c r="E23" t="n">
        <v>17</v>
      </c>
      <c r="F23" t="n">
        <v>3</v>
      </c>
      <c r="G23" t="n">
        <v>0</v>
      </c>
      <c r="H23" s="6">
        <f>IFERROR(E25/(E25+F25),"")</f>
        <v/>
      </c>
    </row>
    <row r="24">
      <c r="A24" t="inlineStr">
        <is>
          <t>Q3 2026</t>
        </is>
      </c>
      <c r="B24" t="inlineStr">
        <is>
          <t>Quillmont Federal Medicare</t>
        </is>
      </c>
      <c r="C24" t="n">
        <v>7</v>
      </c>
      <c r="D24" t="n">
        <v>0</v>
      </c>
      <c r="E24" t="n">
        <v>7</v>
      </c>
      <c r="F24" t="n">
        <v>0</v>
      </c>
      <c r="G24" t="n">
        <v>0</v>
      </c>
      <c r="H24" s="6">
        <f>IFERROR(E26/(E26+F26),"")</f>
        <v/>
      </c>
    </row>
    <row r="25">
      <c r="A25" t="inlineStr">
        <is>
          <t>Q3 2026</t>
        </is>
      </c>
      <c r="B25" t="inlineStr">
        <is>
          <t>Other / small plans</t>
        </is>
      </c>
      <c r="C25" t="n">
        <v>38</v>
      </c>
      <c r="D25" t="n">
        <v>1</v>
      </c>
      <c r="E25" t="n">
        <v>35</v>
      </c>
      <c r="F25" t="n">
        <v>3</v>
      </c>
      <c r="G25" t="n">
        <v>0</v>
      </c>
      <c r="H25" s="6">
        <f>IFERROR(E27/(E27+F27),"")</f>
        <v/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4" customWidth="1" min="2" max="2"/>
    <col width="14" customWidth="1" min="3" max="3"/>
  </cols>
  <sheetData>
    <row r="1">
      <c r="A1" s="4" t="inlineStr">
        <is>
          <t>SYNTHETIC DEMONSTRATION - not operational, medical or financial guidance | Coralline Infusion Network (fictional) | as of Oct 24, 2026</t>
        </is>
      </c>
    </row>
    <row r="3" ht="44" customHeight="1">
      <c r="A3" s="5" t="inlineStr">
        <is>
          <t>Window</t>
        </is>
      </c>
      <c r="B3" s="5" t="inlineStr">
        <is>
          <t>Payer</t>
        </is>
      </c>
      <c r="C3" s="5" t="inlineStr">
        <is>
          <t>Patients served</t>
        </is>
      </c>
    </row>
    <row r="4">
      <c r="A4" t="inlineStr">
        <is>
          <t>Q2 2026</t>
        </is>
      </c>
      <c r="B4" t="inlineStr">
        <is>
          <t>Heronview Health</t>
        </is>
      </c>
      <c r="C4" t="n">
        <v>86</v>
      </c>
    </row>
    <row r="5">
      <c r="A5" t="inlineStr">
        <is>
          <t>Q2 2026</t>
        </is>
      </c>
      <c r="B5" t="inlineStr">
        <is>
          <t>Saltgrass Mutual</t>
        </is>
      </c>
      <c r="C5" t="n">
        <v>64</v>
      </c>
    </row>
    <row r="6">
      <c r="A6" t="inlineStr">
        <is>
          <t>Q2 2026</t>
        </is>
      </c>
      <c r="B6" t="inlineStr">
        <is>
          <t>Kestrel Shield Medicare Advantage</t>
        </is>
      </c>
      <c r="C6" t="n">
        <v>69</v>
      </c>
    </row>
    <row r="7">
      <c r="A7" t="inlineStr">
        <is>
          <t>Q2 2026</t>
        </is>
      </c>
      <c r="B7" t="inlineStr">
        <is>
          <t>Brightfen Advantage</t>
        </is>
      </c>
      <c r="C7" t="n">
        <v>52</v>
      </c>
    </row>
    <row r="8">
      <c r="A8" t="inlineStr">
        <is>
          <t>Q2 2026</t>
        </is>
      </c>
      <c r="B8" t="inlineStr">
        <is>
          <t>Sandmere Medicaid Plan</t>
        </is>
      </c>
      <c r="C8" t="n">
        <v>48</v>
      </c>
    </row>
    <row r="9">
      <c r="A9" t="inlineStr">
        <is>
          <t>Q2 2026</t>
        </is>
      </c>
      <c r="B9" t="inlineStr">
        <is>
          <t>Cobaltine Commercial</t>
        </is>
      </c>
      <c r="C9" t="n">
        <v>43</v>
      </c>
    </row>
    <row r="10">
      <c r="A10" t="inlineStr">
        <is>
          <t>Q2 2026</t>
        </is>
      </c>
      <c r="B10" t="inlineStr">
        <is>
          <t>Ospreyline Senior</t>
        </is>
      </c>
      <c r="C10" t="n">
        <v>47</v>
      </c>
    </row>
    <row r="11">
      <c r="A11" t="inlineStr">
        <is>
          <t>Q2 2026</t>
        </is>
      </c>
      <c r="B11" t="inlineStr">
        <is>
          <t>Driftwell Health Alliance</t>
        </is>
      </c>
      <c r="C11" t="n">
        <v>44</v>
      </c>
    </row>
    <row r="12">
      <c r="A12" t="inlineStr">
        <is>
          <t>Q2 2026</t>
        </is>
      </c>
      <c r="B12" t="inlineStr">
        <is>
          <t>Fernhollow Care</t>
        </is>
      </c>
      <c r="C12" t="n">
        <v>18</v>
      </c>
    </row>
    <row r="13">
      <c r="A13" t="inlineStr">
        <is>
          <t>Q2 2026</t>
        </is>
      </c>
      <c r="B13" t="inlineStr">
        <is>
          <t>Quillmont Federal Medicare</t>
        </is>
      </c>
      <c r="C13" t="n">
        <v>33</v>
      </c>
    </row>
    <row r="14">
      <c r="A14" t="inlineStr">
        <is>
          <t>Q2 2026</t>
        </is>
      </c>
      <c r="B14" t="inlineStr">
        <is>
          <t>Other / small plans</t>
        </is>
      </c>
      <c r="C14" t="n">
        <v>74</v>
      </c>
    </row>
    <row r="15">
      <c r="A15" t="inlineStr">
        <is>
          <t>Q3 2026</t>
        </is>
      </c>
      <c r="B15" t="inlineStr">
        <is>
          <t>Heronview Health</t>
        </is>
      </c>
      <c r="C15" t="n">
        <v>109</v>
      </c>
    </row>
    <row r="16">
      <c r="A16" t="inlineStr">
        <is>
          <t>Q3 2026</t>
        </is>
      </c>
      <c r="B16" t="inlineStr">
        <is>
          <t>Saltgrass Mutual</t>
        </is>
      </c>
      <c r="C16" t="n">
        <v>58</v>
      </c>
    </row>
    <row r="17">
      <c r="A17" t="inlineStr">
        <is>
          <t>Q3 2026</t>
        </is>
      </c>
      <c r="B17" t="inlineStr">
        <is>
          <t>Kestrel Shield Medicare Advantage</t>
        </is>
      </c>
      <c r="C17" t="n">
        <v>54</v>
      </c>
    </row>
    <row r="18">
      <c r="A18" t="inlineStr">
        <is>
          <t>Q3 2026</t>
        </is>
      </c>
      <c r="B18" t="inlineStr">
        <is>
          <t>Brightfen Advantage</t>
        </is>
      </c>
      <c r="C18" t="n">
        <v>64</v>
      </c>
    </row>
    <row r="19">
      <c r="A19" t="inlineStr">
        <is>
          <t>Q3 2026</t>
        </is>
      </c>
      <c r="B19" t="inlineStr">
        <is>
          <t>Sandmere Medicaid Plan</t>
        </is>
      </c>
      <c r="C19" t="n">
        <v>40</v>
      </c>
    </row>
    <row r="20">
      <c r="A20" t="inlineStr">
        <is>
          <t>Q3 2026</t>
        </is>
      </c>
      <c r="B20" t="inlineStr">
        <is>
          <t>Cobaltine Commercial</t>
        </is>
      </c>
      <c r="C20" t="n">
        <v>43</v>
      </c>
    </row>
    <row r="21">
      <c r="A21" t="inlineStr">
        <is>
          <t>Q3 2026</t>
        </is>
      </c>
      <c r="B21" t="inlineStr">
        <is>
          <t>Ospreyline Senior</t>
        </is>
      </c>
      <c r="C21" t="n">
        <v>48</v>
      </c>
    </row>
    <row r="22">
      <c r="A22" t="inlineStr">
        <is>
          <t>Q3 2026</t>
        </is>
      </c>
      <c r="B22" t="inlineStr">
        <is>
          <t>Driftwell Health Alliance</t>
        </is>
      </c>
      <c r="C22" t="n">
        <v>36</v>
      </c>
    </row>
    <row r="23">
      <c r="A23" t="inlineStr">
        <is>
          <t>Q3 2026</t>
        </is>
      </c>
      <c r="B23" t="inlineStr">
        <is>
          <t>Fernhollow Care</t>
        </is>
      </c>
      <c r="C23" t="n">
        <v>20</v>
      </c>
    </row>
    <row r="24">
      <c r="A24" t="inlineStr">
        <is>
          <t>Q3 2026</t>
        </is>
      </c>
      <c r="B24" t="inlineStr">
        <is>
          <t>Quillmont Federal Medicare</t>
        </is>
      </c>
      <c r="C24" t="n">
        <v>28</v>
      </c>
    </row>
    <row r="25">
      <c r="A25" t="inlineStr">
        <is>
          <t>Q3 2026</t>
        </is>
      </c>
      <c r="B25" t="inlineStr">
        <is>
          <t>Other / small plans</t>
        </is>
      </c>
      <c r="C25" t="n">
        <v>71</v>
      </c>
    </row>
    <row r="26">
      <c r="A26" t="inlineStr">
        <is>
          <t>Q3 2026</t>
        </is>
      </c>
      <c r="B26" t="inlineStr">
        <is>
          <t>Unmapped alias (pending review)</t>
        </is>
      </c>
      <c r="C26" t="n">
        <v>2</v>
      </c>
    </row>
    <row r="27">
      <c r="A27" t="inlineStr">
        <is>
          <t>Q3 2026</t>
        </is>
      </c>
      <c r="B27" t="inlineStr">
        <is>
          <t>No coverage on file at event</t>
        </is>
      </c>
      <c r="C27" t="n">
        <v>1</v>
      </c>
    </row>
    <row r="28">
      <c r="A28" t="inlineStr">
        <is>
          <t>T12M to Sep 30, 2025</t>
        </is>
      </c>
      <c r="B28" t="inlineStr">
        <is>
          <t>Heronview Health</t>
        </is>
      </c>
      <c r="C28" t="n">
        <v>149</v>
      </c>
    </row>
    <row r="29">
      <c r="A29" t="inlineStr">
        <is>
          <t>T12M to Sep 30, 2025</t>
        </is>
      </c>
      <c r="B29" t="inlineStr">
        <is>
          <t>Saltgrass Mutual</t>
        </is>
      </c>
      <c r="C29" t="n">
        <v>105</v>
      </c>
    </row>
    <row r="30">
      <c r="A30" t="inlineStr">
        <is>
          <t>T12M to Sep 30, 2025</t>
        </is>
      </c>
      <c r="B30" t="inlineStr">
        <is>
          <t>Kestrel Shield Medicare Advantage</t>
        </is>
      </c>
      <c r="C30" t="n">
        <v>92</v>
      </c>
    </row>
    <row r="31">
      <c r="A31" t="inlineStr">
        <is>
          <t>T12M to Sep 30, 2025</t>
        </is>
      </c>
      <c r="B31" t="inlineStr">
        <is>
          <t>Brightfen Advantage</t>
        </is>
      </c>
      <c r="C31" t="n">
        <v>67</v>
      </c>
    </row>
    <row r="32">
      <c r="A32" t="inlineStr">
        <is>
          <t>T12M to Sep 30, 2025</t>
        </is>
      </c>
      <c r="B32" t="inlineStr">
        <is>
          <t>Sandmere Medicaid Plan</t>
        </is>
      </c>
      <c r="C32" t="n">
        <v>56</v>
      </c>
    </row>
    <row r="33">
      <c r="A33" t="inlineStr">
        <is>
          <t>T12M to Sep 30, 2025</t>
        </is>
      </c>
      <c r="B33" t="inlineStr">
        <is>
          <t>Cobaltine Commercial</t>
        </is>
      </c>
      <c r="C33" t="n">
        <v>74</v>
      </c>
    </row>
    <row r="34">
      <c r="A34" t="inlineStr">
        <is>
          <t>T12M to Sep 30, 2025</t>
        </is>
      </c>
      <c r="B34" t="inlineStr">
        <is>
          <t>Ospreyline Senior</t>
        </is>
      </c>
      <c r="C34" t="n">
        <v>61</v>
      </c>
    </row>
    <row r="35">
      <c r="A35" t="inlineStr">
        <is>
          <t>T12M to Sep 30, 2025</t>
        </is>
      </c>
      <c r="B35" t="inlineStr">
        <is>
          <t>Driftwell Health Alliance</t>
        </is>
      </c>
      <c r="C35" t="n">
        <v>71</v>
      </c>
    </row>
    <row r="36">
      <c r="A36" t="inlineStr">
        <is>
          <t>T12M to Sep 30, 2025</t>
        </is>
      </c>
      <c r="B36" t="inlineStr">
        <is>
          <t>Fernhollow Care</t>
        </is>
      </c>
      <c r="C36" t="n">
        <v>42</v>
      </c>
    </row>
    <row r="37">
      <c r="A37" t="inlineStr">
        <is>
          <t>T12M to Sep 30, 2025</t>
        </is>
      </c>
      <c r="B37" t="inlineStr">
        <is>
          <t>Quillmont Federal Medicare</t>
        </is>
      </c>
      <c r="C37" t="n">
        <v>52</v>
      </c>
    </row>
    <row r="38">
      <c r="A38" t="inlineStr">
        <is>
          <t>T12M to Sep 30, 2025</t>
        </is>
      </c>
      <c r="B38" t="inlineStr">
        <is>
          <t>Other / small plans</t>
        </is>
      </c>
      <c r="C38" t="n">
        <v>93</v>
      </c>
    </row>
    <row r="39">
      <c r="A39" t="inlineStr">
        <is>
          <t>T12M to Sep 30, 2025</t>
        </is>
      </c>
      <c r="B39" t="inlineStr">
        <is>
          <t>Unmapped alias (pending review)</t>
        </is>
      </c>
      <c r="C39" t="n">
        <v>2</v>
      </c>
    </row>
    <row r="40">
      <c r="A40" t="inlineStr">
        <is>
          <t>T12M to Sep 30, 2026</t>
        </is>
      </c>
      <c r="B40" t="inlineStr">
        <is>
          <t>Heronview Health</t>
        </is>
      </c>
      <c r="C40" t="n">
        <v>208</v>
      </c>
    </row>
    <row r="41">
      <c r="A41" t="inlineStr">
        <is>
          <t>T12M to Sep 30, 2026</t>
        </is>
      </c>
      <c r="B41" t="inlineStr">
        <is>
          <t>Saltgrass Mutual</t>
        </is>
      </c>
      <c r="C41" t="n">
        <v>147</v>
      </c>
    </row>
    <row r="42">
      <c r="A42" t="inlineStr">
        <is>
          <t>T12M to Sep 30, 2026</t>
        </is>
      </c>
      <c r="B42" t="inlineStr">
        <is>
          <t>Kestrel Shield Medicare Advantage</t>
        </is>
      </c>
      <c r="C42" t="n">
        <v>148</v>
      </c>
    </row>
    <row r="43">
      <c r="A43" t="inlineStr">
        <is>
          <t>T12M to Sep 30, 2026</t>
        </is>
      </c>
      <c r="B43" t="inlineStr">
        <is>
          <t>Brightfen Advantage</t>
        </is>
      </c>
      <c r="C43" t="n">
        <v>125</v>
      </c>
    </row>
    <row r="44">
      <c r="A44" t="inlineStr">
        <is>
          <t>T12M to Sep 30, 2026</t>
        </is>
      </c>
      <c r="B44" t="inlineStr">
        <is>
          <t>Sandmere Medicaid Plan</t>
        </is>
      </c>
      <c r="C44" t="n">
        <v>95</v>
      </c>
    </row>
    <row r="45">
      <c r="A45" t="inlineStr">
        <is>
          <t>T12M to Sep 30, 2026</t>
        </is>
      </c>
      <c r="B45" t="inlineStr">
        <is>
          <t>Cobaltine Commercial</t>
        </is>
      </c>
      <c r="C45" t="n">
        <v>95</v>
      </c>
    </row>
    <row r="46">
      <c r="A46" t="inlineStr">
        <is>
          <t>T12M to Sep 30, 2026</t>
        </is>
      </c>
      <c r="B46" t="inlineStr">
        <is>
          <t>Ospreyline Senior</t>
        </is>
      </c>
      <c r="C46" t="n">
        <v>106</v>
      </c>
    </row>
    <row r="47">
      <c r="A47" t="inlineStr">
        <is>
          <t>T12M to Sep 30, 2026</t>
        </is>
      </c>
      <c r="B47" t="inlineStr">
        <is>
          <t>Driftwell Health Alliance</t>
        </is>
      </c>
      <c r="C47" t="n">
        <v>101</v>
      </c>
    </row>
    <row r="48">
      <c r="A48" t="inlineStr">
        <is>
          <t>T12M to Sep 30, 2026</t>
        </is>
      </c>
      <c r="B48" t="inlineStr">
        <is>
          <t>Fernhollow Care</t>
        </is>
      </c>
      <c r="C48" t="n">
        <v>48</v>
      </c>
    </row>
    <row r="49">
      <c r="A49" t="inlineStr">
        <is>
          <t>T12M to Sep 30, 2026</t>
        </is>
      </c>
      <c r="B49" t="inlineStr">
        <is>
          <t>Quillmont Federal Medicare</t>
        </is>
      </c>
      <c r="C49" t="n">
        <v>70</v>
      </c>
    </row>
    <row r="50">
      <c r="A50" t="inlineStr">
        <is>
          <t>T12M to Sep 30, 2026</t>
        </is>
      </c>
      <c r="B50" t="inlineStr">
        <is>
          <t>Other / small plans</t>
        </is>
      </c>
      <c r="C50" t="n">
        <v>144</v>
      </c>
    </row>
    <row r="51">
      <c r="A51" t="inlineStr">
        <is>
          <t>T12M to Sep 30, 2026</t>
        </is>
      </c>
      <c r="B51" t="inlineStr">
        <is>
          <t>Unmapped alias (pending review)</t>
        </is>
      </c>
      <c r="C51" t="n">
        <v>3</v>
      </c>
    </row>
    <row r="52">
      <c r="A52" t="inlineStr">
        <is>
          <t>T12M to Sep 30, 2026</t>
        </is>
      </c>
      <c r="B52" t="inlineStr">
        <is>
          <t>No coverage on file at event</t>
        </is>
      </c>
      <c r="C52" t="n">
        <v>1</v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5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4" t="inlineStr">
        <is>
          <t>SYNTHETIC DEMONSTRATION - not operational, medical or financial guidance | Coralline Infusion Network (fictional) | as of Oct 24, 2026</t>
        </is>
      </c>
    </row>
    <row r="3" ht="44" customHeight="1">
      <c r="A3" s="5" t="inlineStr">
        <is>
          <t>Order</t>
        </is>
      </c>
      <c r="B3" s="5" t="inlineStr">
        <is>
          <t>First treated in</t>
        </is>
      </c>
      <c r="C3" s="5" t="inlineStr">
        <is>
          <t>Payer key</t>
        </is>
      </c>
      <c r="D3" s="5" t="inlineStr">
        <is>
          <t>Order type</t>
        </is>
      </c>
      <c r="E3" s="5" t="inlineStr">
        <is>
          <t>Therapy</t>
        </is>
      </c>
      <c r="F3" s="5" t="inlineStr">
        <is>
          <t>Order created</t>
        </is>
      </c>
      <c r="G3" s="5" t="inlineStr">
        <is>
          <t>First treated</t>
        </is>
      </c>
      <c r="H3" s="5" t="inlineStr">
        <is>
          <t>Business days (SQL)</t>
        </is>
      </c>
      <c r="I3" s="5" t="inlineStr">
        <is>
          <t>NETWORKDAYS (Excel)</t>
        </is>
      </c>
      <c r="J3" s="5" t="inlineStr">
        <is>
          <t>Match</t>
        </is>
      </c>
    </row>
    <row r="4">
      <c r="A4" t="inlineStr">
        <is>
          <t>OS02161</t>
        </is>
      </c>
      <c r="B4" t="inlineStr">
        <is>
          <t>Q2 2026</t>
        </is>
      </c>
      <c r="C4" t="inlineStr">
        <is>
          <t>PU05</t>
        </is>
      </c>
      <c r="D4" t="inlineStr">
        <is>
          <t>New patient</t>
        </is>
      </c>
      <c r="E4" t="inlineStr">
        <is>
          <t>THERAPY_G</t>
        </is>
      </c>
      <c r="F4" s="10" t="n">
        <v>46065</v>
      </c>
      <c r="G4" s="10" t="n">
        <v>46134</v>
      </c>
      <c r="H4" t="n">
        <v>50</v>
      </c>
      <c r="I4">
        <f>NETWORKDAYS(F4,G4)</f>
        <v/>
      </c>
      <c r="J4">
        <f>IF(H4=I4,"OK","CHECK")</f>
        <v/>
      </c>
    </row>
    <row r="5">
      <c r="A5" t="inlineStr">
        <is>
          <t>OS02173</t>
        </is>
      </c>
      <c r="B5" t="inlineStr">
        <is>
          <t>Q2 2026</t>
        </is>
      </c>
      <c r="C5" t="inlineStr">
        <is>
          <t>PU99</t>
        </is>
      </c>
      <c r="D5" t="inlineStr">
        <is>
          <t>New patient</t>
        </is>
      </c>
      <c r="E5" t="inlineStr">
        <is>
          <t>THERAPY_C</t>
        </is>
      </c>
      <c r="F5" s="10" t="n">
        <v>46069</v>
      </c>
      <c r="G5" s="10" t="n">
        <v>46115</v>
      </c>
      <c r="H5" t="n">
        <v>35</v>
      </c>
      <c r="I5">
        <f>NETWORKDAYS(F5,G5)</f>
        <v/>
      </c>
      <c r="J5">
        <f>IF(H5=I5,"OK","CHECK")</f>
        <v/>
      </c>
    </row>
    <row r="6">
      <c r="A6" t="inlineStr">
        <is>
          <t>OS02185</t>
        </is>
      </c>
      <c r="B6" t="inlineStr">
        <is>
          <t>Q2 2026</t>
        </is>
      </c>
      <c r="C6" t="inlineStr">
        <is>
          <t>PU03</t>
        </is>
      </c>
      <c r="D6" t="inlineStr">
        <is>
          <t>New patient</t>
        </is>
      </c>
      <c r="E6" t="inlineStr">
        <is>
          <t>THERAPY_F</t>
        </is>
      </c>
      <c r="F6" s="10" t="n">
        <v>46071</v>
      </c>
      <c r="G6" s="10" t="n">
        <v>46126</v>
      </c>
      <c r="H6" t="n">
        <v>40</v>
      </c>
      <c r="I6">
        <f>NETWORKDAYS(F6,G6)</f>
        <v/>
      </c>
      <c r="J6">
        <f>IF(H6=I6,"OK","CHECK")</f>
        <v/>
      </c>
    </row>
    <row r="7">
      <c r="A7" t="inlineStr">
        <is>
          <t>OS02189</t>
        </is>
      </c>
      <c r="B7" t="inlineStr">
        <is>
          <t>Q2 2026</t>
        </is>
      </c>
      <c r="C7" t="inlineStr">
        <is>
          <t>PU05</t>
        </is>
      </c>
      <c r="D7" t="inlineStr">
        <is>
          <t>New patient</t>
        </is>
      </c>
      <c r="E7" t="inlineStr">
        <is>
          <t>THERAPY_B</t>
        </is>
      </c>
      <c r="F7" s="10" t="n">
        <v>46071</v>
      </c>
      <c r="G7" s="10" t="n">
        <v>46134</v>
      </c>
      <c r="H7" t="n">
        <v>46</v>
      </c>
      <c r="I7">
        <f>NETWORKDAYS(F7,G7)</f>
        <v/>
      </c>
      <c r="J7">
        <f>IF(H7=I7,"OK","CHECK")</f>
        <v/>
      </c>
    </row>
    <row r="8">
      <c r="A8" t="inlineStr">
        <is>
          <t>OS02204</t>
        </is>
      </c>
      <c r="B8" t="inlineStr">
        <is>
          <t>Q2 2026</t>
        </is>
      </c>
      <c r="C8" t="inlineStr">
        <is>
          <t>PU07</t>
        </is>
      </c>
      <c r="D8" t="inlineStr">
        <is>
          <t>New patient</t>
        </is>
      </c>
      <c r="E8" t="inlineStr">
        <is>
          <t>THERAPY_H</t>
        </is>
      </c>
      <c r="F8" s="10" t="n">
        <v>46073</v>
      </c>
      <c r="G8" s="10" t="n">
        <v>46129</v>
      </c>
      <c r="H8" t="n">
        <v>41</v>
      </c>
      <c r="I8">
        <f>NETWORKDAYS(F8,G8)</f>
        <v/>
      </c>
      <c r="J8">
        <f>IF(H8=I8,"OK","CHECK")</f>
        <v/>
      </c>
    </row>
    <row r="9">
      <c r="A9" t="inlineStr">
        <is>
          <t>OS02205</t>
        </is>
      </c>
      <c r="B9" t="inlineStr">
        <is>
          <t>Q2 2026</t>
        </is>
      </c>
      <c r="C9" t="inlineStr">
        <is>
          <t>PU05</t>
        </is>
      </c>
      <c r="D9" t="inlineStr">
        <is>
          <t>New patient</t>
        </is>
      </c>
      <c r="E9" t="inlineStr">
        <is>
          <t>THERAPY_C</t>
        </is>
      </c>
      <c r="F9" s="10" t="n">
        <v>46073</v>
      </c>
      <c r="G9" s="10" t="n">
        <v>46114</v>
      </c>
      <c r="H9" t="n">
        <v>30</v>
      </c>
      <c r="I9">
        <f>NETWORKDAYS(F9,G9)</f>
        <v/>
      </c>
      <c r="J9">
        <f>IF(H9=I9,"OK","CHECK")</f>
        <v/>
      </c>
    </row>
    <row r="10">
      <c r="A10" t="inlineStr">
        <is>
          <t>OS02208</t>
        </is>
      </c>
      <c r="B10" t="inlineStr">
        <is>
          <t>Q2 2026</t>
        </is>
      </c>
      <c r="C10" t="inlineStr">
        <is>
          <t>PU05</t>
        </is>
      </c>
      <c r="D10" t="inlineStr">
        <is>
          <t>New therapy</t>
        </is>
      </c>
      <c r="E10" t="inlineStr">
        <is>
          <t>THERAPY_E</t>
        </is>
      </c>
      <c r="F10" s="10" t="n">
        <v>46076</v>
      </c>
      <c r="G10" s="10" t="n">
        <v>46114</v>
      </c>
      <c r="H10" t="n">
        <v>29</v>
      </c>
      <c r="I10">
        <f>NETWORKDAYS(F10,G10)</f>
        <v/>
      </c>
      <c r="J10">
        <f>IF(H10=I10,"OK","CHECK")</f>
        <v/>
      </c>
    </row>
    <row r="11">
      <c r="A11" t="inlineStr">
        <is>
          <t>OS02219</t>
        </is>
      </c>
      <c r="B11" t="inlineStr">
        <is>
          <t>Q2 2026</t>
        </is>
      </c>
      <c r="C11" t="inlineStr">
        <is>
          <t>PU04</t>
        </is>
      </c>
      <c r="D11" t="inlineStr">
        <is>
          <t>New patient</t>
        </is>
      </c>
      <c r="E11" t="inlineStr">
        <is>
          <t>THERAPY_F</t>
        </is>
      </c>
      <c r="F11" s="10" t="n">
        <v>46078</v>
      </c>
      <c r="G11" s="10" t="n">
        <v>46114</v>
      </c>
      <c r="H11" t="n">
        <v>27</v>
      </c>
      <c r="I11">
        <f>NETWORKDAYS(F11,G11)</f>
        <v/>
      </c>
      <c r="J11">
        <f>IF(H11=I11,"OK","CHECK")</f>
        <v/>
      </c>
    </row>
    <row r="12">
      <c r="A12" t="inlineStr">
        <is>
          <t>OS02225</t>
        </is>
      </c>
      <c r="B12" t="inlineStr">
        <is>
          <t>Q2 2026</t>
        </is>
      </c>
      <c r="C12" t="inlineStr">
        <is>
          <t>PU03</t>
        </is>
      </c>
      <c r="D12" t="inlineStr">
        <is>
          <t>New patient</t>
        </is>
      </c>
      <c r="E12" t="inlineStr">
        <is>
          <t>THERAPY_I</t>
        </is>
      </c>
      <c r="F12" s="10" t="n">
        <v>46079</v>
      </c>
      <c r="G12" s="10" t="n">
        <v>46128</v>
      </c>
      <c r="H12" t="n">
        <v>36</v>
      </c>
      <c r="I12">
        <f>NETWORKDAYS(F12,G12)</f>
        <v/>
      </c>
      <c r="J12">
        <f>IF(H12=I12,"OK","CHECK")</f>
        <v/>
      </c>
    </row>
    <row r="13">
      <c r="A13" t="inlineStr">
        <is>
          <t>OS02227</t>
        </is>
      </c>
      <c r="B13" t="inlineStr">
        <is>
          <t>Q2 2026</t>
        </is>
      </c>
      <c r="C13" t="inlineStr">
        <is>
          <t>PU05</t>
        </is>
      </c>
      <c r="D13" t="inlineStr">
        <is>
          <t>New patient</t>
        </is>
      </c>
      <c r="E13" t="inlineStr">
        <is>
          <t>THERAPY_C</t>
        </is>
      </c>
      <c r="F13" s="10" t="n">
        <v>46079</v>
      </c>
      <c r="G13" s="10" t="n">
        <v>46125</v>
      </c>
      <c r="H13" t="n">
        <v>33</v>
      </c>
      <c r="I13">
        <f>NETWORKDAYS(F13,G13)</f>
        <v/>
      </c>
      <c r="J13">
        <f>IF(H13=I13,"OK","CHECK")</f>
        <v/>
      </c>
    </row>
    <row r="14">
      <c r="A14" t="inlineStr">
        <is>
          <t>OS02228</t>
        </is>
      </c>
      <c r="B14" t="inlineStr">
        <is>
          <t>Q2 2026</t>
        </is>
      </c>
      <c r="C14" t="inlineStr">
        <is>
          <t>PU05</t>
        </is>
      </c>
      <c r="D14" t="inlineStr">
        <is>
          <t>New patient</t>
        </is>
      </c>
      <c r="E14" t="inlineStr">
        <is>
          <t>THERAPY_D</t>
        </is>
      </c>
      <c r="F14" s="10" t="n">
        <v>46079</v>
      </c>
      <c r="G14" s="10" t="n">
        <v>46120</v>
      </c>
      <c r="H14" t="n">
        <v>30</v>
      </c>
      <c r="I14">
        <f>NETWORKDAYS(F14,G14)</f>
        <v/>
      </c>
      <c r="J14">
        <f>IF(H14=I14,"OK","CHECK")</f>
        <v/>
      </c>
    </row>
    <row r="15">
      <c r="A15" t="inlineStr">
        <is>
          <t>OS02231</t>
        </is>
      </c>
      <c r="B15" t="inlineStr">
        <is>
          <t>Q2 2026</t>
        </is>
      </c>
      <c r="C15" t="inlineStr">
        <is>
          <t>PU01</t>
        </is>
      </c>
      <c r="D15" t="inlineStr">
        <is>
          <t>New patient</t>
        </is>
      </c>
      <c r="E15" t="inlineStr">
        <is>
          <t>THERAPY_B</t>
        </is>
      </c>
      <c r="F15" s="10" t="n">
        <v>46079</v>
      </c>
      <c r="G15" s="10" t="n">
        <v>46113</v>
      </c>
      <c r="H15" t="n">
        <v>25</v>
      </c>
      <c r="I15">
        <f>NETWORKDAYS(F15,G15)</f>
        <v/>
      </c>
      <c r="J15">
        <f>IF(H15=I15,"OK","CHECK")</f>
        <v/>
      </c>
    </row>
    <row r="16">
      <c r="A16" t="inlineStr">
        <is>
          <t>OS02235</t>
        </is>
      </c>
      <c r="B16" t="inlineStr">
        <is>
          <t>Q2 2026</t>
        </is>
      </c>
      <c r="C16" t="inlineStr">
        <is>
          <t>PU99</t>
        </is>
      </c>
      <c r="D16" t="inlineStr">
        <is>
          <t>New patient</t>
        </is>
      </c>
      <c r="E16" t="inlineStr">
        <is>
          <t>THERAPY_J</t>
        </is>
      </c>
      <c r="F16" s="10" t="n">
        <v>46080</v>
      </c>
      <c r="G16" s="10" t="n">
        <v>46118</v>
      </c>
      <c r="H16" t="n">
        <v>27</v>
      </c>
      <c r="I16">
        <f>NETWORKDAYS(F16,G16)</f>
        <v/>
      </c>
      <c r="J16">
        <f>IF(H16=I16,"OK","CHECK")</f>
        <v/>
      </c>
    </row>
    <row r="17">
      <c r="A17" t="inlineStr">
        <is>
          <t>OS02236</t>
        </is>
      </c>
      <c r="B17" t="inlineStr">
        <is>
          <t>Q2 2026</t>
        </is>
      </c>
      <c r="C17" t="inlineStr">
        <is>
          <t>PU07</t>
        </is>
      </c>
      <c r="D17" t="inlineStr">
        <is>
          <t>New patient</t>
        </is>
      </c>
      <c r="E17" t="inlineStr">
        <is>
          <t>THERAPY_C</t>
        </is>
      </c>
      <c r="F17" s="10" t="n">
        <v>46080</v>
      </c>
      <c r="G17" s="10" t="n">
        <v>46113</v>
      </c>
      <c r="H17" t="n">
        <v>24</v>
      </c>
      <c r="I17">
        <f>NETWORKDAYS(F17,G17)</f>
        <v/>
      </c>
      <c r="J17">
        <f>IF(H17=I17,"OK","CHECK")</f>
        <v/>
      </c>
    </row>
    <row r="18">
      <c r="A18" t="inlineStr">
        <is>
          <t>OS02237</t>
        </is>
      </c>
      <c r="B18" t="inlineStr">
        <is>
          <t>Q2 2026</t>
        </is>
      </c>
      <c r="C18" t="inlineStr">
        <is>
          <t>PU99</t>
        </is>
      </c>
      <c r="D18" t="inlineStr">
        <is>
          <t>New patient</t>
        </is>
      </c>
      <c r="E18" t="inlineStr">
        <is>
          <t>THERAPY_E</t>
        </is>
      </c>
      <c r="F18" s="10" t="n">
        <v>46080</v>
      </c>
      <c r="G18" s="10" t="n">
        <v>46114</v>
      </c>
      <c r="H18" t="n">
        <v>25</v>
      </c>
      <c r="I18">
        <f>NETWORKDAYS(F18,G18)</f>
        <v/>
      </c>
      <c r="J18">
        <f>IF(H18=I18,"OK","CHECK")</f>
        <v/>
      </c>
    </row>
    <row r="19">
      <c r="A19" t="inlineStr">
        <is>
          <t>OS02241</t>
        </is>
      </c>
      <c r="B19" t="inlineStr">
        <is>
          <t>Q2 2026</t>
        </is>
      </c>
      <c r="C19" t="inlineStr">
        <is>
          <t>PU07</t>
        </is>
      </c>
      <c r="D19" t="inlineStr">
        <is>
          <t>New patient</t>
        </is>
      </c>
      <c r="E19" t="inlineStr">
        <is>
          <t>THERAPY_J</t>
        </is>
      </c>
      <c r="F19" s="10" t="n">
        <v>46080</v>
      </c>
      <c r="G19" s="10" t="n">
        <v>46126</v>
      </c>
      <c r="H19" t="n">
        <v>33</v>
      </c>
      <c r="I19">
        <f>NETWORKDAYS(F19,G19)</f>
        <v/>
      </c>
      <c r="J19">
        <f>IF(H19=I19,"OK","CHECK")</f>
        <v/>
      </c>
    </row>
    <row r="20">
      <c r="A20" t="inlineStr">
        <is>
          <t>OS02242</t>
        </is>
      </c>
      <c r="B20" t="inlineStr">
        <is>
          <t>Q2 2026</t>
        </is>
      </c>
      <c r="C20" t="inlineStr">
        <is>
          <t>PU05</t>
        </is>
      </c>
      <c r="D20" t="inlineStr">
        <is>
          <t>New patient</t>
        </is>
      </c>
      <c r="E20" t="inlineStr">
        <is>
          <t>THERAPY_G</t>
        </is>
      </c>
      <c r="F20" s="10" t="n">
        <v>46083</v>
      </c>
      <c r="G20" s="10" t="n">
        <v>46140</v>
      </c>
      <c r="H20" t="n">
        <v>42</v>
      </c>
      <c r="I20">
        <f>NETWORKDAYS(F20,G20)</f>
        <v/>
      </c>
      <c r="J20">
        <f>IF(H20=I20,"OK","CHECK")</f>
        <v/>
      </c>
    </row>
    <row r="21">
      <c r="A21" t="inlineStr">
        <is>
          <t>OS02249</t>
        </is>
      </c>
      <c r="B21" t="inlineStr">
        <is>
          <t>Q2 2026</t>
        </is>
      </c>
      <c r="C21" t="inlineStr">
        <is>
          <t>PU01</t>
        </is>
      </c>
      <c r="D21" t="inlineStr">
        <is>
          <t>New patient</t>
        </is>
      </c>
      <c r="E21" t="inlineStr">
        <is>
          <t>THERAPY_D</t>
        </is>
      </c>
      <c r="F21" s="10" t="n">
        <v>46084</v>
      </c>
      <c r="G21" s="10" t="n">
        <v>46120</v>
      </c>
      <c r="H21" t="n">
        <v>27</v>
      </c>
      <c r="I21">
        <f>NETWORKDAYS(F21,G21)</f>
        <v/>
      </c>
      <c r="J21">
        <f>IF(H21=I21,"OK","CHECK")</f>
        <v/>
      </c>
    </row>
    <row r="22">
      <c r="A22" t="inlineStr">
        <is>
          <t>OS02252</t>
        </is>
      </c>
      <c r="B22" t="inlineStr">
        <is>
          <t>Q2 2026</t>
        </is>
      </c>
      <c r="C22" t="inlineStr">
        <is>
          <t>PU08</t>
        </is>
      </c>
      <c r="D22" t="inlineStr">
        <is>
          <t>New patient</t>
        </is>
      </c>
      <c r="E22" t="inlineStr">
        <is>
          <t>THERAPY_F</t>
        </is>
      </c>
      <c r="F22" s="10" t="n">
        <v>46085</v>
      </c>
      <c r="G22" s="10" t="n">
        <v>46122</v>
      </c>
      <c r="H22" t="n">
        <v>28</v>
      </c>
      <c r="I22">
        <f>NETWORKDAYS(F22,G22)</f>
        <v/>
      </c>
      <c r="J22">
        <f>IF(H22=I22,"OK","CHECK")</f>
        <v/>
      </c>
    </row>
    <row r="23">
      <c r="A23" t="inlineStr">
        <is>
          <t>OS02255</t>
        </is>
      </c>
      <c r="B23" t="inlineStr">
        <is>
          <t>Q2 2026</t>
        </is>
      </c>
      <c r="C23" t="inlineStr">
        <is>
          <t>PU05</t>
        </is>
      </c>
      <c r="D23" t="inlineStr">
        <is>
          <t>New patient</t>
        </is>
      </c>
      <c r="E23" t="inlineStr">
        <is>
          <t>THERAPY_I</t>
        </is>
      </c>
      <c r="F23" s="10" t="n">
        <v>46085</v>
      </c>
      <c r="G23" s="10" t="n">
        <v>46115</v>
      </c>
      <c r="H23" t="n">
        <v>23</v>
      </c>
      <c r="I23">
        <f>NETWORKDAYS(F23,G23)</f>
        <v/>
      </c>
      <c r="J23">
        <f>IF(H23=I23,"OK","CHECK")</f>
        <v/>
      </c>
    </row>
    <row r="24">
      <c r="A24" t="inlineStr">
        <is>
          <t>OS02260</t>
        </is>
      </c>
      <c r="B24" t="inlineStr">
        <is>
          <t>Q2 2026</t>
        </is>
      </c>
      <c r="C24" t="inlineStr">
        <is>
          <t>PU05</t>
        </is>
      </c>
      <c r="D24" t="inlineStr">
        <is>
          <t>New patient</t>
        </is>
      </c>
      <c r="E24" t="inlineStr">
        <is>
          <t>THERAPY_B</t>
        </is>
      </c>
      <c r="F24" s="10" t="n">
        <v>46086</v>
      </c>
      <c r="G24" s="10" t="n">
        <v>46147</v>
      </c>
      <c r="H24" t="n">
        <v>44</v>
      </c>
      <c r="I24">
        <f>NETWORKDAYS(F24,G24)</f>
        <v/>
      </c>
      <c r="J24">
        <f>IF(H24=I24,"OK","CHECK")</f>
        <v/>
      </c>
    </row>
    <row r="25">
      <c r="A25" t="inlineStr">
        <is>
          <t>OS02263</t>
        </is>
      </c>
      <c r="B25" t="inlineStr">
        <is>
          <t>Q2 2026</t>
        </is>
      </c>
      <c r="C25" t="inlineStr">
        <is>
          <t>PU08</t>
        </is>
      </c>
      <c r="D25" t="inlineStr">
        <is>
          <t>New patient</t>
        </is>
      </c>
      <c r="E25" t="inlineStr">
        <is>
          <t>THERAPY_F</t>
        </is>
      </c>
      <c r="F25" s="10" t="n">
        <v>46086</v>
      </c>
      <c r="G25" s="10" t="n">
        <v>46113</v>
      </c>
      <c r="H25" t="n">
        <v>20</v>
      </c>
      <c r="I25">
        <f>NETWORKDAYS(F25,G25)</f>
        <v/>
      </c>
      <c r="J25">
        <f>IF(H25=I25,"OK","CHECK")</f>
        <v/>
      </c>
    </row>
    <row r="26">
      <c r="A26" t="inlineStr">
        <is>
          <t>OS02264</t>
        </is>
      </c>
      <c r="B26" t="inlineStr">
        <is>
          <t>Q2 2026</t>
        </is>
      </c>
      <c r="C26" t="inlineStr">
        <is>
          <t>PU08</t>
        </is>
      </c>
      <c r="D26" t="inlineStr">
        <is>
          <t>New therapy</t>
        </is>
      </c>
      <c r="E26" t="inlineStr">
        <is>
          <t>THERAPY_E</t>
        </is>
      </c>
      <c r="F26" s="10" t="n">
        <v>46086</v>
      </c>
      <c r="G26" s="10" t="n">
        <v>46121</v>
      </c>
      <c r="H26" t="n">
        <v>26</v>
      </c>
      <c r="I26">
        <f>NETWORKDAYS(F26,G26)</f>
        <v/>
      </c>
      <c r="J26">
        <f>IF(H26=I26,"OK","CHECK")</f>
        <v/>
      </c>
    </row>
    <row r="27">
      <c r="A27" t="inlineStr">
        <is>
          <t>OS02265</t>
        </is>
      </c>
      <c r="B27" t="inlineStr">
        <is>
          <t>Q2 2026</t>
        </is>
      </c>
      <c r="C27" t="inlineStr">
        <is>
          <t>PU04</t>
        </is>
      </c>
      <c r="D27" t="inlineStr">
        <is>
          <t>New patient</t>
        </is>
      </c>
      <c r="E27" t="inlineStr">
        <is>
          <t>THERAPY_B</t>
        </is>
      </c>
      <c r="F27" s="10" t="n">
        <v>46086</v>
      </c>
      <c r="G27" s="10" t="n">
        <v>46125</v>
      </c>
      <c r="H27" t="n">
        <v>28</v>
      </c>
      <c r="I27">
        <f>NETWORKDAYS(F27,G27)</f>
        <v/>
      </c>
      <c r="J27">
        <f>IF(H27=I27,"OK","CHECK")</f>
        <v/>
      </c>
    </row>
    <row r="28">
      <c r="A28" t="inlineStr">
        <is>
          <t>OS02266</t>
        </is>
      </c>
      <c r="B28" t="inlineStr">
        <is>
          <t>Q2 2026</t>
        </is>
      </c>
      <c r="C28" t="inlineStr">
        <is>
          <t>PU02</t>
        </is>
      </c>
      <c r="D28" t="inlineStr">
        <is>
          <t>New patient</t>
        </is>
      </c>
      <c r="E28" t="inlineStr">
        <is>
          <t>THERAPY_F</t>
        </is>
      </c>
      <c r="F28" s="10" t="n">
        <v>46086</v>
      </c>
      <c r="G28" s="10" t="n">
        <v>46120</v>
      </c>
      <c r="H28" t="n">
        <v>25</v>
      </c>
      <c r="I28">
        <f>NETWORKDAYS(F28,G28)</f>
        <v/>
      </c>
      <c r="J28">
        <f>IF(H28=I28,"OK","CHECK")</f>
        <v/>
      </c>
    </row>
    <row r="29">
      <c r="A29" t="inlineStr">
        <is>
          <t>OS02268</t>
        </is>
      </c>
      <c r="B29" t="inlineStr">
        <is>
          <t>Q2 2026</t>
        </is>
      </c>
      <c r="C29" t="inlineStr">
        <is>
          <t>PU03</t>
        </is>
      </c>
      <c r="D29" t="inlineStr">
        <is>
          <t>New patient</t>
        </is>
      </c>
      <c r="E29" t="inlineStr">
        <is>
          <t>THERAPY_D</t>
        </is>
      </c>
      <c r="F29" s="10" t="n">
        <v>46087</v>
      </c>
      <c r="G29" s="10" t="n">
        <v>46118</v>
      </c>
      <c r="H29" t="n">
        <v>22</v>
      </c>
      <c r="I29">
        <f>NETWORKDAYS(F29,G29)</f>
        <v/>
      </c>
      <c r="J29">
        <f>IF(H29=I29,"OK","CHECK")</f>
        <v/>
      </c>
    </row>
    <row r="30">
      <c r="A30" t="inlineStr">
        <is>
          <t>OS02270</t>
        </is>
      </c>
      <c r="B30" t="inlineStr">
        <is>
          <t>Q2 2026</t>
        </is>
      </c>
      <c r="C30" t="inlineStr">
        <is>
          <t>PU02</t>
        </is>
      </c>
      <c r="D30" t="inlineStr">
        <is>
          <t>New patient</t>
        </is>
      </c>
      <c r="E30" t="inlineStr">
        <is>
          <t>THERAPY_B</t>
        </is>
      </c>
      <c r="F30" s="10" t="n">
        <v>46087</v>
      </c>
      <c r="G30" s="10" t="n">
        <v>46127</v>
      </c>
      <c r="H30" t="n">
        <v>29</v>
      </c>
      <c r="I30">
        <f>NETWORKDAYS(F30,G30)</f>
        <v/>
      </c>
      <c r="J30">
        <f>IF(H30=I30,"OK","CHECK")</f>
        <v/>
      </c>
    </row>
    <row r="31">
      <c r="A31" t="inlineStr">
        <is>
          <t>OS02271</t>
        </is>
      </c>
      <c r="B31" t="inlineStr">
        <is>
          <t>Q2 2026</t>
        </is>
      </c>
      <c r="C31" t="inlineStr">
        <is>
          <t>PU03</t>
        </is>
      </c>
      <c r="D31" t="inlineStr">
        <is>
          <t>New patient</t>
        </is>
      </c>
      <c r="E31" t="inlineStr">
        <is>
          <t>THERAPY_B</t>
        </is>
      </c>
      <c r="F31" s="10" t="n">
        <v>46087</v>
      </c>
      <c r="G31" s="10" t="n">
        <v>46118</v>
      </c>
      <c r="H31" t="n">
        <v>22</v>
      </c>
      <c r="I31">
        <f>NETWORKDAYS(F31,G31)</f>
        <v/>
      </c>
      <c r="J31">
        <f>IF(H31=I31,"OK","CHECK")</f>
        <v/>
      </c>
    </row>
    <row r="32">
      <c r="A32" t="inlineStr">
        <is>
          <t>OS02272</t>
        </is>
      </c>
      <c r="B32" t="inlineStr">
        <is>
          <t>Q2 2026</t>
        </is>
      </c>
      <c r="C32" t="inlineStr">
        <is>
          <t>PU03</t>
        </is>
      </c>
      <c r="D32" t="inlineStr">
        <is>
          <t>New patient</t>
        </is>
      </c>
      <c r="E32" t="inlineStr">
        <is>
          <t>THERAPY_B</t>
        </is>
      </c>
      <c r="F32" s="10" t="n">
        <v>46087</v>
      </c>
      <c r="G32" s="10" t="n">
        <v>46143</v>
      </c>
      <c r="H32" t="n">
        <v>41</v>
      </c>
      <c r="I32">
        <f>NETWORKDAYS(F32,G32)</f>
        <v/>
      </c>
      <c r="J32">
        <f>IF(H32=I32,"OK","CHECK")</f>
        <v/>
      </c>
    </row>
    <row r="33">
      <c r="A33" t="inlineStr">
        <is>
          <t>OS02273</t>
        </is>
      </c>
      <c r="B33" t="inlineStr">
        <is>
          <t>Q2 2026</t>
        </is>
      </c>
      <c r="C33" t="inlineStr">
        <is>
          <t>PU04</t>
        </is>
      </c>
      <c r="D33" t="inlineStr">
        <is>
          <t>New patient</t>
        </is>
      </c>
      <c r="E33" t="inlineStr">
        <is>
          <t>THERAPY_B</t>
        </is>
      </c>
      <c r="F33" s="10" t="n">
        <v>46087</v>
      </c>
      <c r="G33" s="10" t="n">
        <v>46127</v>
      </c>
      <c r="H33" t="n">
        <v>29</v>
      </c>
      <c r="I33">
        <f>NETWORKDAYS(F33,G33)</f>
        <v/>
      </c>
      <c r="J33">
        <f>IF(H33=I33,"OK","CHECK")</f>
        <v/>
      </c>
    </row>
    <row r="34">
      <c r="A34" t="inlineStr">
        <is>
          <t>OS02274</t>
        </is>
      </c>
      <c r="B34" t="inlineStr">
        <is>
          <t>Q2 2026</t>
        </is>
      </c>
      <c r="C34" t="inlineStr">
        <is>
          <t>PU02</t>
        </is>
      </c>
      <c r="D34" t="inlineStr">
        <is>
          <t>New patient</t>
        </is>
      </c>
      <c r="E34" t="inlineStr">
        <is>
          <t>THERAPY_J</t>
        </is>
      </c>
      <c r="F34" s="10" t="n">
        <v>46087</v>
      </c>
      <c r="G34" s="10" t="n">
        <v>46115</v>
      </c>
      <c r="H34" t="n">
        <v>21</v>
      </c>
      <c r="I34">
        <f>NETWORKDAYS(F34,G34)</f>
        <v/>
      </c>
      <c r="J34">
        <f>IF(H34=I34,"OK","CHECK")</f>
        <v/>
      </c>
    </row>
    <row r="35">
      <c r="A35" t="inlineStr">
        <is>
          <t>OS02275</t>
        </is>
      </c>
      <c r="B35" t="inlineStr">
        <is>
          <t>Q2 2026</t>
        </is>
      </c>
      <c r="C35" t="inlineStr">
        <is>
          <t>PU99</t>
        </is>
      </c>
      <c r="D35" t="inlineStr">
        <is>
          <t>New patient</t>
        </is>
      </c>
      <c r="E35" t="inlineStr">
        <is>
          <t>THERAPY_F</t>
        </is>
      </c>
      <c r="F35" s="10" t="n">
        <v>46087</v>
      </c>
      <c r="G35" s="10" t="n">
        <v>46132</v>
      </c>
      <c r="H35" t="n">
        <v>32</v>
      </c>
      <c r="I35">
        <f>NETWORKDAYS(F35,G35)</f>
        <v/>
      </c>
      <c r="J35">
        <f>IF(H35=I35,"OK","CHECK")</f>
        <v/>
      </c>
    </row>
    <row r="36">
      <c r="A36" t="inlineStr">
        <is>
          <t>OS02277</t>
        </is>
      </c>
      <c r="B36" t="inlineStr">
        <is>
          <t>Q2 2026</t>
        </is>
      </c>
      <c r="C36" t="inlineStr">
        <is>
          <t>PU02</t>
        </is>
      </c>
      <c r="D36" t="inlineStr">
        <is>
          <t>New patient</t>
        </is>
      </c>
      <c r="E36" t="inlineStr">
        <is>
          <t>THERAPY_D</t>
        </is>
      </c>
      <c r="F36" s="10" t="n">
        <v>46090</v>
      </c>
      <c r="G36" s="10" t="n">
        <v>46121</v>
      </c>
      <c r="H36" t="n">
        <v>24</v>
      </c>
      <c r="I36">
        <f>NETWORKDAYS(F36,G36)</f>
        <v/>
      </c>
      <c r="J36">
        <f>IF(H36=I36,"OK","CHECK")</f>
        <v/>
      </c>
    </row>
    <row r="37">
      <c r="A37" t="inlineStr">
        <is>
          <t>OS02280</t>
        </is>
      </c>
      <c r="B37" t="inlineStr">
        <is>
          <t>Q2 2026</t>
        </is>
      </c>
      <c r="C37" t="inlineStr">
        <is>
          <t>PU10</t>
        </is>
      </c>
      <c r="D37" t="inlineStr">
        <is>
          <t>New patient</t>
        </is>
      </c>
      <c r="E37" t="inlineStr">
        <is>
          <t>THERAPY_H</t>
        </is>
      </c>
      <c r="F37" s="10" t="n">
        <v>46090</v>
      </c>
      <c r="G37" s="10" t="n">
        <v>46114</v>
      </c>
      <c r="H37" t="n">
        <v>19</v>
      </c>
      <c r="I37">
        <f>NETWORKDAYS(F37,G37)</f>
        <v/>
      </c>
      <c r="J37">
        <f>IF(H37=I37,"OK","CHECK")</f>
        <v/>
      </c>
    </row>
    <row r="38">
      <c r="A38" t="inlineStr">
        <is>
          <t>OS02282</t>
        </is>
      </c>
      <c r="B38" t="inlineStr">
        <is>
          <t>Q2 2026</t>
        </is>
      </c>
      <c r="C38" t="inlineStr">
        <is>
          <t>PU04</t>
        </is>
      </c>
      <c r="D38" t="inlineStr">
        <is>
          <t>New patient</t>
        </is>
      </c>
      <c r="E38" t="inlineStr">
        <is>
          <t>THERAPY_G</t>
        </is>
      </c>
      <c r="F38" s="10" t="n">
        <v>46090</v>
      </c>
      <c r="G38" s="10" t="n">
        <v>46118</v>
      </c>
      <c r="H38" t="n">
        <v>21</v>
      </c>
      <c r="I38">
        <f>NETWORKDAYS(F38,G38)</f>
        <v/>
      </c>
      <c r="J38">
        <f>IF(H38=I38,"OK","CHECK")</f>
        <v/>
      </c>
    </row>
    <row r="39">
      <c r="A39" t="inlineStr">
        <is>
          <t>OS02283</t>
        </is>
      </c>
      <c r="B39" t="inlineStr">
        <is>
          <t>Q2 2026</t>
        </is>
      </c>
      <c r="C39" t="inlineStr">
        <is>
          <t>PU04</t>
        </is>
      </c>
      <c r="D39" t="inlineStr">
        <is>
          <t>New patient</t>
        </is>
      </c>
      <c r="E39" t="inlineStr">
        <is>
          <t>THERAPY_F</t>
        </is>
      </c>
      <c r="F39" s="10" t="n">
        <v>46090</v>
      </c>
      <c r="G39" s="10" t="n">
        <v>46120</v>
      </c>
      <c r="H39" t="n">
        <v>23</v>
      </c>
      <c r="I39">
        <f>NETWORKDAYS(F39,G39)</f>
        <v/>
      </c>
      <c r="J39">
        <f>IF(H39=I39,"OK","CHECK")</f>
        <v/>
      </c>
    </row>
    <row r="40">
      <c r="A40" t="inlineStr">
        <is>
          <t>OS02286</t>
        </is>
      </c>
      <c r="B40" t="inlineStr">
        <is>
          <t>Q2 2026</t>
        </is>
      </c>
      <c r="C40" t="inlineStr">
        <is>
          <t>PU05</t>
        </is>
      </c>
      <c r="D40" t="inlineStr">
        <is>
          <t>New patient</t>
        </is>
      </c>
      <c r="E40" t="inlineStr">
        <is>
          <t>THERAPY_G</t>
        </is>
      </c>
      <c r="F40" s="10" t="n">
        <v>46090</v>
      </c>
      <c r="G40" s="10" t="n">
        <v>46118</v>
      </c>
      <c r="H40" t="n">
        <v>21</v>
      </c>
      <c r="I40">
        <f>NETWORKDAYS(F40,G40)</f>
        <v/>
      </c>
      <c r="J40">
        <f>IF(H40=I40,"OK","CHECK")</f>
        <v/>
      </c>
    </row>
    <row r="41">
      <c r="A41" t="inlineStr">
        <is>
          <t>OS02290</t>
        </is>
      </c>
      <c r="B41" t="inlineStr">
        <is>
          <t>Q2 2026</t>
        </is>
      </c>
      <c r="C41" t="inlineStr">
        <is>
          <t>PU03</t>
        </is>
      </c>
      <c r="D41" t="inlineStr">
        <is>
          <t>New patient</t>
        </is>
      </c>
      <c r="E41" t="inlineStr">
        <is>
          <t>THERAPY_G</t>
        </is>
      </c>
      <c r="F41" s="10" t="n">
        <v>46091</v>
      </c>
      <c r="G41" s="10" t="n">
        <v>46126</v>
      </c>
      <c r="H41" t="n">
        <v>26</v>
      </c>
      <c r="I41">
        <f>NETWORKDAYS(F41,G41)</f>
        <v/>
      </c>
      <c r="J41">
        <f>IF(H41=I41,"OK","CHECK")</f>
        <v/>
      </c>
    </row>
    <row r="42">
      <c r="A42" t="inlineStr">
        <is>
          <t>OS02291</t>
        </is>
      </c>
      <c r="B42" t="inlineStr">
        <is>
          <t>Q2 2026</t>
        </is>
      </c>
      <c r="C42" t="inlineStr">
        <is>
          <t>PU99</t>
        </is>
      </c>
      <c r="D42" t="inlineStr">
        <is>
          <t>New patient</t>
        </is>
      </c>
      <c r="E42" t="inlineStr">
        <is>
          <t>THERAPY_H</t>
        </is>
      </c>
      <c r="F42" s="10" t="n">
        <v>46091</v>
      </c>
      <c r="G42" s="10" t="n">
        <v>46115</v>
      </c>
      <c r="H42" t="n">
        <v>19</v>
      </c>
      <c r="I42">
        <f>NETWORKDAYS(F42,G42)</f>
        <v/>
      </c>
      <c r="J42">
        <f>IF(H42=I42,"OK","CHECK")</f>
        <v/>
      </c>
    </row>
    <row r="43">
      <c r="A43" t="inlineStr">
        <is>
          <t>OS02292</t>
        </is>
      </c>
      <c r="B43" t="inlineStr">
        <is>
          <t>Q2 2026</t>
        </is>
      </c>
      <c r="C43" t="inlineStr">
        <is>
          <t>PU07</t>
        </is>
      </c>
      <c r="D43" t="inlineStr">
        <is>
          <t>New patient</t>
        </is>
      </c>
      <c r="E43" t="inlineStr">
        <is>
          <t>THERAPY_G</t>
        </is>
      </c>
      <c r="F43" s="10" t="n">
        <v>46091</v>
      </c>
      <c r="G43" s="10" t="n">
        <v>46126</v>
      </c>
      <c r="H43" t="n">
        <v>26</v>
      </c>
      <c r="I43">
        <f>NETWORKDAYS(F43,G43)</f>
        <v/>
      </c>
      <c r="J43">
        <f>IF(H43=I43,"OK","CHECK")</f>
        <v/>
      </c>
    </row>
    <row r="44">
      <c r="A44" t="inlineStr">
        <is>
          <t>OS02294</t>
        </is>
      </c>
      <c r="B44" t="inlineStr">
        <is>
          <t>Q2 2026</t>
        </is>
      </c>
      <c r="C44" t="inlineStr">
        <is>
          <t>PU09</t>
        </is>
      </c>
      <c r="D44" t="inlineStr">
        <is>
          <t>New patient</t>
        </is>
      </c>
      <c r="E44" t="inlineStr">
        <is>
          <t>THERAPY_H</t>
        </is>
      </c>
      <c r="F44" s="10" t="n">
        <v>46091</v>
      </c>
      <c r="G44" s="10" t="n">
        <v>46129</v>
      </c>
      <c r="H44" t="n">
        <v>29</v>
      </c>
      <c r="I44">
        <f>NETWORKDAYS(F44,G44)</f>
        <v/>
      </c>
      <c r="J44">
        <f>IF(H44=I44,"OK","CHECK")</f>
        <v/>
      </c>
    </row>
    <row r="45">
      <c r="A45" t="inlineStr">
        <is>
          <t>OS02295</t>
        </is>
      </c>
      <c r="B45" t="inlineStr">
        <is>
          <t>Q2 2026</t>
        </is>
      </c>
      <c r="C45" t="inlineStr">
        <is>
          <t>PU02</t>
        </is>
      </c>
      <c r="D45" t="inlineStr">
        <is>
          <t>New patient</t>
        </is>
      </c>
      <c r="E45" t="inlineStr">
        <is>
          <t>THERAPY_B</t>
        </is>
      </c>
      <c r="F45" s="10" t="n">
        <v>46091</v>
      </c>
      <c r="G45" s="10" t="n">
        <v>46129</v>
      </c>
      <c r="H45" t="n">
        <v>29</v>
      </c>
      <c r="I45">
        <f>NETWORKDAYS(F45,G45)</f>
        <v/>
      </c>
      <c r="J45">
        <f>IF(H45=I45,"OK","CHECK")</f>
        <v/>
      </c>
    </row>
    <row r="46">
      <c r="A46" t="inlineStr">
        <is>
          <t>OS02297</t>
        </is>
      </c>
      <c r="B46" t="inlineStr">
        <is>
          <t>Q2 2026</t>
        </is>
      </c>
      <c r="C46" t="inlineStr">
        <is>
          <t>PU02</t>
        </is>
      </c>
      <c r="D46" t="inlineStr">
        <is>
          <t>New patient</t>
        </is>
      </c>
      <c r="E46" t="inlineStr">
        <is>
          <t>THERAPY_E</t>
        </is>
      </c>
      <c r="F46" s="10" t="n">
        <v>46091</v>
      </c>
      <c r="G46" s="10" t="n">
        <v>46115</v>
      </c>
      <c r="H46" t="n">
        <v>19</v>
      </c>
      <c r="I46">
        <f>NETWORKDAYS(F46,G46)</f>
        <v/>
      </c>
      <c r="J46">
        <f>IF(H46=I46,"OK","CHECK")</f>
        <v/>
      </c>
    </row>
    <row r="47">
      <c r="A47" t="inlineStr">
        <is>
          <t>OS02298</t>
        </is>
      </c>
      <c r="B47" t="inlineStr">
        <is>
          <t>Q2 2026</t>
        </is>
      </c>
      <c r="C47" t="inlineStr">
        <is>
          <t>PU05</t>
        </is>
      </c>
      <c r="D47" t="inlineStr">
        <is>
          <t>New patient</t>
        </is>
      </c>
      <c r="E47" t="inlineStr">
        <is>
          <t>THERAPY_C</t>
        </is>
      </c>
      <c r="F47" s="10" t="n">
        <v>46091</v>
      </c>
      <c r="G47" s="10" t="n">
        <v>46121</v>
      </c>
      <c r="H47" t="n">
        <v>23</v>
      </c>
      <c r="I47">
        <f>NETWORKDAYS(F47,G47)</f>
        <v/>
      </c>
      <c r="J47">
        <f>IF(H47=I47,"OK","CHECK")</f>
        <v/>
      </c>
    </row>
    <row r="48">
      <c r="A48" t="inlineStr">
        <is>
          <t>OS02299</t>
        </is>
      </c>
      <c r="B48" t="inlineStr">
        <is>
          <t>Q2 2026</t>
        </is>
      </c>
      <c r="C48" t="inlineStr">
        <is>
          <t>PU99</t>
        </is>
      </c>
      <c r="D48" t="inlineStr">
        <is>
          <t>New patient</t>
        </is>
      </c>
      <c r="E48" t="inlineStr">
        <is>
          <t>THERAPY_G</t>
        </is>
      </c>
      <c r="F48" s="10" t="n">
        <v>46091</v>
      </c>
      <c r="G48" s="10" t="n">
        <v>46115</v>
      </c>
      <c r="H48" t="n">
        <v>19</v>
      </c>
      <c r="I48">
        <f>NETWORKDAYS(F48,G48)</f>
        <v/>
      </c>
      <c r="J48">
        <f>IF(H48=I48,"OK","CHECK")</f>
        <v/>
      </c>
    </row>
    <row r="49">
      <c r="A49" t="inlineStr">
        <is>
          <t>OS02306</t>
        </is>
      </c>
      <c r="B49" t="inlineStr">
        <is>
          <t>Q2 2026</t>
        </is>
      </c>
      <c r="C49" t="inlineStr">
        <is>
          <t>PU06</t>
        </is>
      </c>
      <c r="D49" t="inlineStr">
        <is>
          <t>New patient</t>
        </is>
      </c>
      <c r="E49" t="inlineStr">
        <is>
          <t>THERAPY_E</t>
        </is>
      </c>
      <c r="F49" s="10" t="n">
        <v>46092</v>
      </c>
      <c r="G49" s="10" t="n">
        <v>46121</v>
      </c>
      <c r="H49" t="n">
        <v>22</v>
      </c>
      <c r="I49">
        <f>NETWORKDAYS(F49,G49)</f>
        <v/>
      </c>
      <c r="J49">
        <f>IF(H49=I49,"OK","CHECK")</f>
        <v/>
      </c>
    </row>
    <row r="50">
      <c r="A50" t="inlineStr">
        <is>
          <t>OS02307</t>
        </is>
      </c>
      <c r="B50" t="inlineStr">
        <is>
          <t>Q2 2026</t>
        </is>
      </c>
      <c r="C50" t="inlineStr">
        <is>
          <t>PU02</t>
        </is>
      </c>
      <c r="D50" t="inlineStr">
        <is>
          <t>New patient</t>
        </is>
      </c>
      <c r="E50" t="inlineStr">
        <is>
          <t>THERAPY_H</t>
        </is>
      </c>
      <c r="F50" s="10" t="n">
        <v>46093</v>
      </c>
      <c r="G50" s="10" t="n">
        <v>46127</v>
      </c>
      <c r="H50" t="n">
        <v>25</v>
      </c>
      <c r="I50">
        <f>NETWORKDAYS(F50,G50)</f>
        <v/>
      </c>
      <c r="J50">
        <f>IF(H50=I50,"OK","CHECK")</f>
        <v/>
      </c>
    </row>
    <row r="51">
      <c r="A51" t="inlineStr">
        <is>
          <t>OS02308</t>
        </is>
      </c>
      <c r="B51" t="inlineStr">
        <is>
          <t>Q2 2026</t>
        </is>
      </c>
      <c r="C51" t="inlineStr">
        <is>
          <t>PU04</t>
        </is>
      </c>
      <c r="D51" t="inlineStr">
        <is>
          <t>New therapy</t>
        </is>
      </c>
      <c r="E51" t="inlineStr">
        <is>
          <t>THERAPY_H</t>
        </is>
      </c>
      <c r="F51" s="10" t="n">
        <v>46093</v>
      </c>
      <c r="G51" s="10" t="n">
        <v>46120</v>
      </c>
      <c r="H51" t="n">
        <v>20</v>
      </c>
      <c r="I51">
        <f>NETWORKDAYS(F51,G51)</f>
        <v/>
      </c>
      <c r="J51">
        <f>IF(H51=I51,"OK","CHECK")</f>
        <v/>
      </c>
    </row>
    <row r="52">
      <c r="A52" t="inlineStr">
        <is>
          <t>OS02311</t>
        </is>
      </c>
      <c r="B52" t="inlineStr">
        <is>
          <t>Q2 2026</t>
        </is>
      </c>
      <c r="C52" t="inlineStr">
        <is>
          <t>PU08</t>
        </is>
      </c>
      <c r="D52" t="inlineStr">
        <is>
          <t>New patient</t>
        </is>
      </c>
      <c r="E52" t="inlineStr">
        <is>
          <t>THERAPY_I</t>
        </is>
      </c>
      <c r="F52" s="10" t="n">
        <v>46093</v>
      </c>
      <c r="G52" s="10" t="n">
        <v>46139</v>
      </c>
      <c r="H52" t="n">
        <v>33</v>
      </c>
      <c r="I52">
        <f>NETWORKDAYS(F52,G52)</f>
        <v/>
      </c>
      <c r="J52">
        <f>IF(H52=I52,"OK","CHECK")</f>
        <v/>
      </c>
    </row>
    <row r="53">
      <c r="A53" t="inlineStr">
        <is>
          <t>OS02312</t>
        </is>
      </c>
      <c r="B53" t="inlineStr">
        <is>
          <t>Q2 2026</t>
        </is>
      </c>
      <c r="C53" t="inlineStr">
        <is>
          <t>PU02</t>
        </is>
      </c>
      <c r="D53" t="inlineStr">
        <is>
          <t>New patient</t>
        </is>
      </c>
      <c r="E53" t="inlineStr">
        <is>
          <t>THERAPY_B</t>
        </is>
      </c>
      <c r="F53" s="10" t="n">
        <v>46093</v>
      </c>
      <c r="G53" s="10" t="n">
        <v>46129</v>
      </c>
      <c r="H53" t="n">
        <v>27</v>
      </c>
      <c r="I53">
        <f>NETWORKDAYS(F53,G53)</f>
        <v/>
      </c>
      <c r="J53">
        <f>IF(H53=I53,"OK","CHECK")</f>
        <v/>
      </c>
    </row>
    <row r="54">
      <c r="A54" t="inlineStr">
        <is>
          <t>OS02314</t>
        </is>
      </c>
      <c r="B54" t="inlineStr">
        <is>
          <t>Q2 2026</t>
        </is>
      </c>
      <c r="C54" t="inlineStr">
        <is>
          <t>PU07</t>
        </is>
      </c>
      <c r="D54" t="inlineStr">
        <is>
          <t>New patient</t>
        </is>
      </c>
      <c r="E54" t="inlineStr">
        <is>
          <t>THERAPY_I</t>
        </is>
      </c>
      <c r="F54" s="10" t="n">
        <v>46093</v>
      </c>
      <c r="G54" s="10" t="n">
        <v>46120</v>
      </c>
      <c r="H54" t="n">
        <v>20</v>
      </c>
      <c r="I54">
        <f>NETWORKDAYS(F54,G54)</f>
        <v/>
      </c>
      <c r="J54">
        <f>IF(H54=I54,"OK","CHECK")</f>
        <v/>
      </c>
    </row>
    <row r="55">
      <c r="A55" t="inlineStr">
        <is>
          <t>OS02315</t>
        </is>
      </c>
      <c r="B55" t="inlineStr">
        <is>
          <t>Q2 2026</t>
        </is>
      </c>
      <c r="C55" t="inlineStr">
        <is>
          <t>PU01</t>
        </is>
      </c>
      <c r="D55" t="inlineStr">
        <is>
          <t>New patient</t>
        </is>
      </c>
      <c r="E55" t="inlineStr">
        <is>
          <t>THERAPY_B</t>
        </is>
      </c>
      <c r="F55" s="10" t="n">
        <v>46094</v>
      </c>
      <c r="G55" s="10" t="n">
        <v>46121</v>
      </c>
      <c r="H55" t="n">
        <v>20</v>
      </c>
      <c r="I55">
        <f>NETWORKDAYS(F55,G55)</f>
        <v/>
      </c>
      <c r="J55">
        <f>IF(H55=I55,"OK","CHECK")</f>
        <v/>
      </c>
    </row>
    <row r="56">
      <c r="A56" t="inlineStr">
        <is>
          <t>OS02316</t>
        </is>
      </c>
      <c r="B56" t="inlineStr">
        <is>
          <t>Q2 2026</t>
        </is>
      </c>
      <c r="C56" t="inlineStr">
        <is>
          <t>PU99</t>
        </is>
      </c>
      <c r="D56" t="inlineStr">
        <is>
          <t>New patient</t>
        </is>
      </c>
      <c r="E56" t="inlineStr">
        <is>
          <t>THERAPY_E</t>
        </is>
      </c>
      <c r="F56" s="10" t="n">
        <v>46094</v>
      </c>
      <c r="G56" s="10" t="n">
        <v>46122</v>
      </c>
      <c r="H56" t="n">
        <v>21</v>
      </c>
      <c r="I56">
        <f>NETWORKDAYS(F56,G56)</f>
        <v/>
      </c>
      <c r="J56">
        <f>IF(H56=I56,"OK","CHECK")</f>
        <v/>
      </c>
    </row>
    <row r="57">
      <c r="A57" t="inlineStr">
        <is>
          <t>OS02318</t>
        </is>
      </c>
      <c r="B57" t="inlineStr">
        <is>
          <t>Q2 2026</t>
        </is>
      </c>
      <c r="C57" t="inlineStr">
        <is>
          <t>PU07</t>
        </is>
      </c>
      <c r="D57" t="inlineStr">
        <is>
          <t>New patient</t>
        </is>
      </c>
      <c r="E57" t="inlineStr">
        <is>
          <t>THERAPY_B</t>
        </is>
      </c>
      <c r="F57" s="10" t="n">
        <v>46094</v>
      </c>
      <c r="G57" s="10" t="n">
        <v>46122</v>
      </c>
      <c r="H57" t="n">
        <v>21</v>
      </c>
      <c r="I57">
        <f>NETWORKDAYS(F57,G57)</f>
        <v/>
      </c>
      <c r="J57">
        <f>IF(H57=I57,"OK","CHECK")</f>
        <v/>
      </c>
    </row>
    <row r="58">
      <c r="A58" t="inlineStr">
        <is>
          <t>OS02319</t>
        </is>
      </c>
      <c r="B58" t="inlineStr">
        <is>
          <t>Q2 2026</t>
        </is>
      </c>
      <c r="C58" t="inlineStr">
        <is>
          <t>PU01</t>
        </is>
      </c>
      <c r="D58" t="inlineStr">
        <is>
          <t>New patient</t>
        </is>
      </c>
      <c r="E58" t="inlineStr">
        <is>
          <t>THERAPY_H</t>
        </is>
      </c>
      <c r="F58" s="10" t="n">
        <v>46094</v>
      </c>
      <c r="G58" s="10" t="n">
        <v>46127</v>
      </c>
      <c r="H58" t="n">
        <v>24</v>
      </c>
      <c r="I58">
        <f>NETWORKDAYS(F58,G58)</f>
        <v/>
      </c>
      <c r="J58">
        <f>IF(H58=I58,"OK","CHECK")</f>
        <v/>
      </c>
    </row>
    <row r="59">
      <c r="A59" t="inlineStr">
        <is>
          <t>OS02320</t>
        </is>
      </c>
      <c r="B59" t="inlineStr">
        <is>
          <t>Q2 2026</t>
        </is>
      </c>
      <c r="C59" t="inlineStr">
        <is>
          <t>PU02</t>
        </is>
      </c>
      <c r="D59" t="inlineStr">
        <is>
          <t>New patient</t>
        </is>
      </c>
      <c r="E59" t="inlineStr">
        <is>
          <t>THERAPY_C</t>
        </is>
      </c>
      <c r="F59" s="10" t="n">
        <v>46097</v>
      </c>
      <c r="G59" s="10" t="n">
        <v>46133</v>
      </c>
      <c r="H59" t="n">
        <v>27</v>
      </c>
      <c r="I59">
        <f>NETWORKDAYS(F59,G59)</f>
        <v/>
      </c>
      <c r="J59">
        <f>IF(H59=I59,"OK","CHECK")</f>
        <v/>
      </c>
    </row>
    <row r="60">
      <c r="A60" t="inlineStr">
        <is>
          <t>OS02322</t>
        </is>
      </c>
      <c r="B60" t="inlineStr">
        <is>
          <t>Q2 2026</t>
        </is>
      </c>
      <c r="C60" t="inlineStr">
        <is>
          <t>PU07</t>
        </is>
      </c>
      <c r="D60" t="inlineStr">
        <is>
          <t>New patient</t>
        </is>
      </c>
      <c r="E60" t="inlineStr">
        <is>
          <t>THERAPY_B</t>
        </is>
      </c>
      <c r="F60" s="10" t="n">
        <v>46097</v>
      </c>
      <c r="G60" s="10" t="n">
        <v>46114</v>
      </c>
      <c r="H60" t="n">
        <v>14</v>
      </c>
      <c r="I60">
        <f>NETWORKDAYS(F60,G60)</f>
        <v/>
      </c>
      <c r="J60">
        <f>IF(H60=I60,"OK","CHECK")</f>
        <v/>
      </c>
    </row>
    <row r="61">
      <c r="A61" t="inlineStr">
        <is>
          <t>OS02326</t>
        </is>
      </c>
      <c r="B61" t="inlineStr">
        <is>
          <t>Q2 2026</t>
        </is>
      </c>
      <c r="C61" t="inlineStr">
        <is>
          <t>PU02</t>
        </is>
      </c>
      <c r="D61" t="inlineStr">
        <is>
          <t>New patient</t>
        </is>
      </c>
      <c r="E61" t="inlineStr">
        <is>
          <t>THERAPY_G</t>
        </is>
      </c>
      <c r="F61" s="10" t="n">
        <v>46097</v>
      </c>
      <c r="G61" s="10" t="n">
        <v>46126</v>
      </c>
      <c r="H61" t="n">
        <v>22</v>
      </c>
      <c r="I61">
        <f>NETWORKDAYS(F61,G61)</f>
        <v/>
      </c>
      <c r="J61">
        <f>IF(H61=I61,"OK","CHECK")</f>
        <v/>
      </c>
    </row>
    <row r="62">
      <c r="A62" t="inlineStr">
        <is>
          <t>OS02328</t>
        </is>
      </c>
      <c r="B62" t="inlineStr">
        <is>
          <t>Q2 2026</t>
        </is>
      </c>
      <c r="C62" t="inlineStr">
        <is>
          <t>PU08</t>
        </is>
      </c>
      <c r="D62" t="inlineStr">
        <is>
          <t>New therapy</t>
        </is>
      </c>
      <c r="E62" t="inlineStr">
        <is>
          <t>THERAPY_C</t>
        </is>
      </c>
      <c r="F62" s="10" t="n">
        <v>46097</v>
      </c>
      <c r="G62" s="10" t="n">
        <v>46125</v>
      </c>
      <c r="H62" t="n">
        <v>21</v>
      </c>
      <c r="I62">
        <f>NETWORKDAYS(F62,G62)</f>
        <v/>
      </c>
      <c r="J62">
        <f>IF(H62=I62,"OK","CHECK")</f>
        <v/>
      </c>
    </row>
    <row r="63">
      <c r="A63" t="inlineStr">
        <is>
          <t>OS02332</t>
        </is>
      </c>
      <c r="B63" t="inlineStr">
        <is>
          <t>Q2 2026</t>
        </is>
      </c>
      <c r="C63" t="inlineStr">
        <is>
          <t>PU03</t>
        </is>
      </c>
      <c r="D63" t="inlineStr">
        <is>
          <t>New patient</t>
        </is>
      </c>
      <c r="E63" t="inlineStr">
        <is>
          <t>THERAPY_A</t>
        </is>
      </c>
      <c r="F63" s="10" t="n">
        <v>46098</v>
      </c>
      <c r="G63" s="10" t="n">
        <v>46121</v>
      </c>
      <c r="H63" t="n">
        <v>18</v>
      </c>
      <c r="I63">
        <f>NETWORKDAYS(F63,G63)</f>
        <v/>
      </c>
      <c r="J63">
        <f>IF(H63=I63,"OK","CHECK")</f>
        <v/>
      </c>
    </row>
    <row r="64">
      <c r="A64" t="inlineStr">
        <is>
          <t>OS02336</t>
        </is>
      </c>
      <c r="B64" t="inlineStr">
        <is>
          <t>Q2 2026</t>
        </is>
      </c>
      <c r="C64" t="inlineStr">
        <is>
          <t>PU08</t>
        </is>
      </c>
      <c r="D64" t="inlineStr">
        <is>
          <t>New patient</t>
        </is>
      </c>
      <c r="E64" t="inlineStr">
        <is>
          <t>THERAPY_E</t>
        </is>
      </c>
      <c r="F64" s="10" t="n">
        <v>46098</v>
      </c>
      <c r="G64" s="10" t="n">
        <v>46134</v>
      </c>
      <c r="H64" t="n">
        <v>27</v>
      </c>
      <c r="I64">
        <f>NETWORKDAYS(F64,G64)</f>
        <v/>
      </c>
      <c r="J64">
        <f>IF(H64=I64,"OK","CHECK")</f>
        <v/>
      </c>
    </row>
    <row r="65">
      <c r="A65" t="inlineStr">
        <is>
          <t>OS02337</t>
        </is>
      </c>
      <c r="B65" t="inlineStr">
        <is>
          <t>Q2 2026</t>
        </is>
      </c>
      <c r="C65" t="inlineStr">
        <is>
          <t>PU03</t>
        </is>
      </c>
      <c r="D65" t="inlineStr">
        <is>
          <t>New patient</t>
        </is>
      </c>
      <c r="E65" t="inlineStr">
        <is>
          <t>THERAPY_J</t>
        </is>
      </c>
      <c r="F65" s="10" t="n">
        <v>46098</v>
      </c>
      <c r="G65" s="10" t="n">
        <v>46120</v>
      </c>
      <c r="H65" t="n">
        <v>17</v>
      </c>
      <c r="I65">
        <f>NETWORKDAYS(F65,G65)</f>
        <v/>
      </c>
      <c r="J65">
        <f>IF(H65=I65,"OK","CHECK")</f>
        <v/>
      </c>
    </row>
    <row r="66">
      <c r="A66" t="inlineStr">
        <is>
          <t>OS02341</t>
        </is>
      </c>
      <c r="B66" t="inlineStr">
        <is>
          <t>Q2 2026</t>
        </is>
      </c>
      <c r="C66" t="inlineStr">
        <is>
          <t>PU04</t>
        </is>
      </c>
      <c r="D66" t="inlineStr">
        <is>
          <t>New therapy</t>
        </is>
      </c>
      <c r="E66" t="inlineStr">
        <is>
          <t>THERAPY_E</t>
        </is>
      </c>
      <c r="F66" s="10" t="n">
        <v>46099</v>
      </c>
      <c r="G66" s="10" t="n">
        <v>46127</v>
      </c>
      <c r="H66" t="n">
        <v>21</v>
      </c>
      <c r="I66">
        <f>NETWORKDAYS(F66,G66)</f>
        <v/>
      </c>
      <c r="J66">
        <f>IF(H66=I66,"OK","CHECK")</f>
        <v/>
      </c>
    </row>
    <row r="67">
      <c r="A67" t="inlineStr">
        <is>
          <t>OS02343</t>
        </is>
      </c>
      <c r="B67" t="inlineStr">
        <is>
          <t>Q2 2026</t>
        </is>
      </c>
      <c r="C67" t="inlineStr">
        <is>
          <t>PU99</t>
        </is>
      </c>
      <c r="D67" t="inlineStr">
        <is>
          <t>New patient</t>
        </is>
      </c>
      <c r="E67" t="inlineStr">
        <is>
          <t>THERAPY_E</t>
        </is>
      </c>
      <c r="F67" s="10" t="n">
        <v>46100</v>
      </c>
      <c r="G67" s="10" t="n">
        <v>46140</v>
      </c>
      <c r="H67" t="n">
        <v>29</v>
      </c>
      <c r="I67">
        <f>NETWORKDAYS(F67,G67)</f>
        <v/>
      </c>
      <c r="J67">
        <f>IF(H67=I67,"OK","CHECK")</f>
        <v/>
      </c>
    </row>
    <row r="68">
      <c r="A68" t="inlineStr">
        <is>
          <t>OS02344</t>
        </is>
      </c>
      <c r="B68" t="inlineStr">
        <is>
          <t>Q2 2026</t>
        </is>
      </c>
      <c r="C68" t="inlineStr">
        <is>
          <t>PU05</t>
        </is>
      </c>
      <c r="D68" t="inlineStr">
        <is>
          <t>New patient</t>
        </is>
      </c>
      <c r="E68" t="inlineStr">
        <is>
          <t>THERAPY_J</t>
        </is>
      </c>
      <c r="F68" s="10" t="n">
        <v>46100</v>
      </c>
      <c r="G68" s="10" t="n">
        <v>46129</v>
      </c>
      <c r="H68" t="n">
        <v>22</v>
      </c>
      <c r="I68">
        <f>NETWORKDAYS(F68,G68)</f>
        <v/>
      </c>
      <c r="J68">
        <f>IF(H68=I68,"OK","CHECK")</f>
        <v/>
      </c>
    </row>
    <row r="69">
      <c r="A69" t="inlineStr">
        <is>
          <t>OS02348</t>
        </is>
      </c>
      <c r="B69" t="inlineStr">
        <is>
          <t>Q2 2026</t>
        </is>
      </c>
      <c r="C69" t="inlineStr">
        <is>
          <t>PU09</t>
        </is>
      </c>
      <c r="D69" t="inlineStr">
        <is>
          <t>New patient</t>
        </is>
      </c>
      <c r="E69" t="inlineStr">
        <is>
          <t>THERAPY_F</t>
        </is>
      </c>
      <c r="F69" s="10" t="n">
        <v>46100</v>
      </c>
      <c r="G69" s="10" t="n">
        <v>46127</v>
      </c>
      <c r="H69" t="n">
        <v>20</v>
      </c>
      <c r="I69">
        <f>NETWORKDAYS(F69,G69)</f>
        <v/>
      </c>
      <c r="J69">
        <f>IF(H69=I69,"OK","CHECK")</f>
        <v/>
      </c>
    </row>
    <row r="70">
      <c r="A70" t="inlineStr">
        <is>
          <t>OS02350</t>
        </is>
      </c>
      <c r="B70" t="inlineStr">
        <is>
          <t>Q2 2026</t>
        </is>
      </c>
      <c r="C70" t="inlineStr">
        <is>
          <t>PU02</t>
        </is>
      </c>
      <c r="D70" t="inlineStr">
        <is>
          <t>New therapy</t>
        </is>
      </c>
      <c r="E70" t="inlineStr">
        <is>
          <t>THERAPY_D</t>
        </is>
      </c>
      <c r="F70" s="10" t="n">
        <v>46101</v>
      </c>
      <c r="G70" s="10" t="n">
        <v>46122</v>
      </c>
      <c r="H70" t="n">
        <v>16</v>
      </c>
      <c r="I70">
        <f>NETWORKDAYS(F70,G70)</f>
        <v/>
      </c>
      <c r="J70">
        <f>IF(H70=I70,"OK","CHECK")</f>
        <v/>
      </c>
    </row>
    <row r="71">
      <c r="A71" t="inlineStr">
        <is>
          <t>OS02351</t>
        </is>
      </c>
      <c r="B71" t="inlineStr">
        <is>
          <t>Q2 2026</t>
        </is>
      </c>
      <c r="C71" t="inlineStr">
        <is>
          <t>PU02</t>
        </is>
      </c>
      <c r="D71" t="inlineStr">
        <is>
          <t>New therapy</t>
        </is>
      </c>
      <c r="E71" t="inlineStr">
        <is>
          <t>THERAPY_E</t>
        </is>
      </c>
      <c r="F71" s="10" t="n">
        <v>46101</v>
      </c>
      <c r="G71" s="10" t="n">
        <v>46140</v>
      </c>
      <c r="H71" t="n">
        <v>28</v>
      </c>
      <c r="I71">
        <f>NETWORKDAYS(F71,G71)</f>
        <v/>
      </c>
      <c r="J71">
        <f>IF(H71=I71,"OK","CHECK")</f>
        <v/>
      </c>
    </row>
    <row r="72">
      <c r="A72" t="inlineStr">
        <is>
          <t>OS02352</t>
        </is>
      </c>
      <c r="B72" t="inlineStr">
        <is>
          <t>Q2 2026</t>
        </is>
      </c>
      <c r="C72" t="inlineStr">
        <is>
          <t>PU07</t>
        </is>
      </c>
      <c r="D72" t="inlineStr">
        <is>
          <t>New patient</t>
        </is>
      </c>
      <c r="E72" t="inlineStr">
        <is>
          <t>THERAPY_B</t>
        </is>
      </c>
      <c r="F72" s="10" t="n">
        <v>46101</v>
      </c>
      <c r="G72" s="10" t="n">
        <v>46128</v>
      </c>
      <c r="H72" t="n">
        <v>20</v>
      </c>
      <c r="I72">
        <f>NETWORKDAYS(F72,G72)</f>
        <v/>
      </c>
      <c r="J72">
        <f>IF(H72=I72,"OK","CHECK")</f>
        <v/>
      </c>
    </row>
    <row r="73">
      <c r="A73" t="inlineStr">
        <is>
          <t>OS02353</t>
        </is>
      </c>
      <c r="B73" t="inlineStr">
        <is>
          <t>Q2 2026</t>
        </is>
      </c>
      <c r="C73" t="inlineStr">
        <is>
          <t>PU02</t>
        </is>
      </c>
      <c r="D73" t="inlineStr">
        <is>
          <t>New patient</t>
        </is>
      </c>
      <c r="E73" t="inlineStr">
        <is>
          <t>THERAPY_F</t>
        </is>
      </c>
      <c r="F73" s="10" t="n">
        <v>46104</v>
      </c>
      <c r="G73" s="10" t="n">
        <v>46127</v>
      </c>
      <c r="H73" t="n">
        <v>18</v>
      </c>
      <c r="I73">
        <f>NETWORKDAYS(F73,G73)</f>
        <v/>
      </c>
      <c r="J73">
        <f>IF(H73=I73,"OK","CHECK")</f>
        <v/>
      </c>
    </row>
    <row r="74">
      <c r="A74" t="inlineStr">
        <is>
          <t>OS02354</t>
        </is>
      </c>
      <c r="B74" t="inlineStr">
        <is>
          <t>Q2 2026</t>
        </is>
      </c>
      <c r="C74" t="inlineStr">
        <is>
          <t>PU02</t>
        </is>
      </c>
      <c r="D74" t="inlineStr">
        <is>
          <t>New patient</t>
        </is>
      </c>
      <c r="E74" t="inlineStr">
        <is>
          <t>THERAPY_B</t>
        </is>
      </c>
      <c r="F74" s="10" t="n">
        <v>46104</v>
      </c>
      <c r="G74" s="10" t="n">
        <v>46129</v>
      </c>
      <c r="H74" t="n">
        <v>20</v>
      </c>
      <c r="I74">
        <f>NETWORKDAYS(F74,G74)</f>
        <v/>
      </c>
      <c r="J74">
        <f>IF(H74=I74,"OK","CHECK")</f>
        <v/>
      </c>
    </row>
    <row r="75">
      <c r="A75" t="inlineStr">
        <is>
          <t>OS02362</t>
        </is>
      </c>
      <c r="B75" t="inlineStr">
        <is>
          <t>Q2 2026</t>
        </is>
      </c>
      <c r="C75" t="inlineStr">
        <is>
          <t>PU01</t>
        </is>
      </c>
      <c r="D75" t="inlineStr">
        <is>
          <t>New patient</t>
        </is>
      </c>
      <c r="E75" t="inlineStr">
        <is>
          <t>THERAPY_I</t>
        </is>
      </c>
      <c r="F75" s="10" t="n">
        <v>46104</v>
      </c>
      <c r="G75" s="10" t="n">
        <v>46128</v>
      </c>
      <c r="H75" t="n">
        <v>19</v>
      </c>
      <c r="I75">
        <f>NETWORKDAYS(F75,G75)</f>
        <v/>
      </c>
      <c r="J75">
        <f>IF(H75=I75,"OK","CHECK")</f>
        <v/>
      </c>
    </row>
    <row r="76">
      <c r="A76" t="inlineStr">
        <is>
          <t>OS02363</t>
        </is>
      </c>
      <c r="B76" t="inlineStr">
        <is>
          <t>Q2 2026</t>
        </is>
      </c>
      <c r="C76" t="inlineStr">
        <is>
          <t>PU03</t>
        </is>
      </c>
      <c r="D76" t="inlineStr">
        <is>
          <t>New patient</t>
        </is>
      </c>
      <c r="E76" t="inlineStr">
        <is>
          <t>THERAPY_E</t>
        </is>
      </c>
      <c r="F76" s="10" t="n">
        <v>46104</v>
      </c>
      <c r="G76" s="10" t="n">
        <v>46135</v>
      </c>
      <c r="H76" t="n">
        <v>24</v>
      </c>
      <c r="I76">
        <f>NETWORKDAYS(F76,G76)</f>
        <v/>
      </c>
      <c r="J76">
        <f>IF(H76=I76,"OK","CHECK")</f>
        <v/>
      </c>
    </row>
    <row r="77">
      <c r="A77" t="inlineStr">
        <is>
          <t>OS02364</t>
        </is>
      </c>
      <c r="B77" t="inlineStr">
        <is>
          <t>Q2 2026</t>
        </is>
      </c>
      <c r="C77" t="inlineStr">
        <is>
          <t>PU99</t>
        </is>
      </c>
      <c r="D77" t="inlineStr">
        <is>
          <t>New patient</t>
        </is>
      </c>
      <c r="E77" t="inlineStr">
        <is>
          <t>THERAPY_G</t>
        </is>
      </c>
      <c r="F77" s="10" t="n">
        <v>46104</v>
      </c>
      <c r="G77" s="10" t="n">
        <v>46129</v>
      </c>
      <c r="H77" t="n">
        <v>20</v>
      </c>
      <c r="I77">
        <f>NETWORKDAYS(F77,G77)</f>
        <v/>
      </c>
      <c r="J77">
        <f>IF(H77=I77,"OK","CHECK")</f>
        <v/>
      </c>
    </row>
    <row r="78">
      <c r="A78" t="inlineStr">
        <is>
          <t>OS02365</t>
        </is>
      </c>
      <c r="B78" t="inlineStr">
        <is>
          <t>Q2 2026</t>
        </is>
      </c>
      <c r="C78" t="inlineStr">
        <is>
          <t>PU04</t>
        </is>
      </c>
      <c r="D78" t="inlineStr">
        <is>
          <t>New patient</t>
        </is>
      </c>
      <c r="E78" t="inlineStr">
        <is>
          <t>THERAPY_G</t>
        </is>
      </c>
      <c r="F78" s="10" t="n">
        <v>46104</v>
      </c>
      <c r="G78" s="10" t="n">
        <v>46134</v>
      </c>
      <c r="H78" t="n">
        <v>23</v>
      </c>
      <c r="I78">
        <f>NETWORKDAYS(F78,G78)</f>
        <v/>
      </c>
      <c r="J78">
        <f>IF(H78=I78,"OK","CHECK")</f>
        <v/>
      </c>
    </row>
    <row r="79">
      <c r="A79" t="inlineStr">
        <is>
          <t>OS02371</t>
        </is>
      </c>
      <c r="B79" t="inlineStr">
        <is>
          <t>Q2 2026</t>
        </is>
      </c>
      <c r="C79" t="inlineStr">
        <is>
          <t>PU03</t>
        </is>
      </c>
      <c r="D79" t="inlineStr">
        <is>
          <t>New patient</t>
        </is>
      </c>
      <c r="E79" t="inlineStr">
        <is>
          <t>THERAPY_I</t>
        </is>
      </c>
      <c r="F79" s="10" t="n">
        <v>46106</v>
      </c>
      <c r="G79" s="10" t="n">
        <v>46129</v>
      </c>
      <c r="H79" t="n">
        <v>18</v>
      </c>
      <c r="I79">
        <f>NETWORKDAYS(F79,G79)</f>
        <v/>
      </c>
      <c r="J79">
        <f>IF(H79=I79,"OK","CHECK")</f>
        <v/>
      </c>
    </row>
    <row r="80">
      <c r="A80" t="inlineStr">
        <is>
          <t>OS02374</t>
        </is>
      </c>
      <c r="B80" t="inlineStr">
        <is>
          <t>Q2 2026</t>
        </is>
      </c>
      <c r="C80" t="inlineStr">
        <is>
          <t>PU07</t>
        </is>
      </c>
      <c r="D80" t="inlineStr">
        <is>
          <t>New patient</t>
        </is>
      </c>
      <c r="E80" t="inlineStr">
        <is>
          <t>THERAPY_I</t>
        </is>
      </c>
      <c r="F80" s="10" t="n">
        <v>46106</v>
      </c>
      <c r="G80" s="10" t="n">
        <v>46140</v>
      </c>
      <c r="H80" t="n">
        <v>25</v>
      </c>
      <c r="I80">
        <f>NETWORKDAYS(F80,G80)</f>
        <v/>
      </c>
      <c r="J80">
        <f>IF(H80=I80,"OK","CHECK")</f>
        <v/>
      </c>
    </row>
    <row r="81">
      <c r="A81" t="inlineStr">
        <is>
          <t>OS02376</t>
        </is>
      </c>
      <c r="B81" t="inlineStr">
        <is>
          <t>Q2 2026</t>
        </is>
      </c>
      <c r="C81" t="inlineStr">
        <is>
          <t>PU99</t>
        </is>
      </c>
      <c r="D81" t="inlineStr">
        <is>
          <t>New patient</t>
        </is>
      </c>
      <c r="E81" t="inlineStr">
        <is>
          <t>THERAPY_E</t>
        </is>
      </c>
      <c r="F81" s="10" t="n">
        <v>46107</v>
      </c>
      <c r="G81" s="10" t="n">
        <v>46132</v>
      </c>
      <c r="H81" t="n">
        <v>18</v>
      </c>
      <c r="I81">
        <f>NETWORKDAYS(F81,G81)</f>
        <v/>
      </c>
      <c r="J81">
        <f>IF(H81=I81,"OK","CHECK")</f>
        <v/>
      </c>
    </row>
    <row r="82">
      <c r="A82" t="inlineStr">
        <is>
          <t>OS02379</t>
        </is>
      </c>
      <c r="B82" t="inlineStr">
        <is>
          <t>Q2 2026</t>
        </is>
      </c>
      <c r="C82" t="inlineStr">
        <is>
          <t>PU02</t>
        </is>
      </c>
      <c r="D82" t="inlineStr">
        <is>
          <t>New patient</t>
        </is>
      </c>
      <c r="E82" t="inlineStr">
        <is>
          <t>THERAPY_I</t>
        </is>
      </c>
      <c r="F82" s="10" t="n">
        <v>46108</v>
      </c>
      <c r="G82" s="10" t="n">
        <v>46146</v>
      </c>
      <c r="H82" t="n">
        <v>27</v>
      </c>
      <c r="I82">
        <f>NETWORKDAYS(F82,G82)</f>
        <v/>
      </c>
      <c r="J82">
        <f>IF(H82=I82,"OK","CHECK")</f>
        <v/>
      </c>
    </row>
    <row r="83">
      <c r="A83" t="inlineStr">
        <is>
          <t>OS02381</t>
        </is>
      </c>
      <c r="B83" t="inlineStr">
        <is>
          <t>Q2 2026</t>
        </is>
      </c>
      <c r="C83" t="inlineStr">
        <is>
          <t>PU06</t>
        </is>
      </c>
      <c r="D83" t="inlineStr">
        <is>
          <t>New patient</t>
        </is>
      </c>
      <c r="E83" t="inlineStr">
        <is>
          <t>THERAPY_H</t>
        </is>
      </c>
      <c r="F83" s="10" t="n">
        <v>46111</v>
      </c>
      <c r="G83" s="10" t="n">
        <v>46122</v>
      </c>
      <c r="H83" t="n">
        <v>10</v>
      </c>
      <c r="I83">
        <f>NETWORKDAYS(F83,G83)</f>
        <v/>
      </c>
      <c r="J83">
        <f>IF(H83=I83,"OK","CHECK")</f>
        <v/>
      </c>
    </row>
    <row r="84">
      <c r="A84" t="inlineStr">
        <is>
          <t>OS02382</t>
        </is>
      </c>
      <c r="B84" t="inlineStr">
        <is>
          <t>Q2 2026</t>
        </is>
      </c>
      <c r="C84" t="inlineStr">
        <is>
          <t>PU05</t>
        </is>
      </c>
      <c r="D84" t="inlineStr">
        <is>
          <t>New patient</t>
        </is>
      </c>
      <c r="E84" t="inlineStr">
        <is>
          <t>THERAPY_B</t>
        </is>
      </c>
      <c r="F84" s="10" t="n">
        <v>46111</v>
      </c>
      <c r="G84" s="10" t="n">
        <v>46157</v>
      </c>
      <c r="H84" t="n">
        <v>35</v>
      </c>
      <c r="I84">
        <f>NETWORKDAYS(F84,G84)</f>
        <v/>
      </c>
      <c r="J84">
        <f>IF(H84=I84,"OK","CHECK")</f>
        <v/>
      </c>
    </row>
    <row r="85">
      <c r="A85" t="inlineStr">
        <is>
          <t>OS02384</t>
        </is>
      </c>
      <c r="B85" t="inlineStr">
        <is>
          <t>Q2 2026</t>
        </is>
      </c>
      <c r="C85" t="inlineStr">
        <is>
          <t>PU04</t>
        </is>
      </c>
      <c r="D85" t="inlineStr">
        <is>
          <t>New patient</t>
        </is>
      </c>
      <c r="E85" t="inlineStr">
        <is>
          <t>THERAPY_C</t>
        </is>
      </c>
      <c r="F85" s="10" t="n">
        <v>46111</v>
      </c>
      <c r="G85" s="10" t="n">
        <v>46127</v>
      </c>
      <c r="H85" t="n">
        <v>13</v>
      </c>
      <c r="I85">
        <f>NETWORKDAYS(F85,G85)</f>
        <v/>
      </c>
      <c r="J85">
        <f>IF(H85=I85,"OK","CHECK")</f>
        <v/>
      </c>
    </row>
    <row r="86">
      <c r="A86" t="inlineStr">
        <is>
          <t>OS02385</t>
        </is>
      </c>
      <c r="B86" t="inlineStr">
        <is>
          <t>Q2 2026</t>
        </is>
      </c>
      <c r="C86" t="inlineStr">
        <is>
          <t>PU99</t>
        </is>
      </c>
      <c r="D86" t="inlineStr">
        <is>
          <t>New patient</t>
        </is>
      </c>
      <c r="E86" t="inlineStr">
        <is>
          <t>THERAPY_J</t>
        </is>
      </c>
      <c r="F86" s="10" t="n">
        <v>46111</v>
      </c>
      <c r="G86" s="10" t="n">
        <v>46127</v>
      </c>
      <c r="H86" t="n">
        <v>13</v>
      </c>
      <c r="I86">
        <f>NETWORKDAYS(F86,G86)</f>
        <v/>
      </c>
      <c r="J86">
        <f>IF(H86=I86,"OK","CHECK")</f>
        <v/>
      </c>
    </row>
    <row r="87">
      <c r="A87" t="inlineStr">
        <is>
          <t>OS02386</t>
        </is>
      </c>
      <c r="B87" t="inlineStr">
        <is>
          <t>Q2 2026</t>
        </is>
      </c>
      <c r="C87" t="inlineStr">
        <is>
          <t>PU02</t>
        </is>
      </c>
      <c r="D87" t="inlineStr">
        <is>
          <t>New patient</t>
        </is>
      </c>
      <c r="E87" t="inlineStr">
        <is>
          <t>THERAPY_D</t>
        </is>
      </c>
      <c r="F87" s="10" t="n">
        <v>46111</v>
      </c>
      <c r="G87" s="10" t="n">
        <v>46129</v>
      </c>
      <c r="H87" t="n">
        <v>15</v>
      </c>
      <c r="I87">
        <f>NETWORKDAYS(F87,G87)</f>
        <v/>
      </c>
      <c r="J87">
        <f>IF(H87=I87,"OK","CHECK")</f>
        <v/>
      </c>
    </row>
    <row r="88">
      <c r="A88" t="inlineStr">
        <is>
          <t>OS02387</t>
        </is>
      </c>
      <c r="B88" t="inlineStr">
        <is>
          <t>Q2 2026</t>
        </is>
      </c>
      <c r="C88" t="inlineStr">
        <is>
          <t>PU08</t>
        </is>
      </c>
      <c r="D88" t="inlineStr">
        <is>
          <t>New patient</t>
        </is>
      </c>
      <c r="E88" t="inlineStr">
        <is>
          <t>THERAPY_I</t>
        </is>
      </c>
      <c r="F88" s="10" t="n">
        <v>46111</v>
      </c>
      <c r="G88" s="10" t="n">
        <v>46154</v>
      </c>
      <c r="H88" t="n">
        <v>32</v>
      </c>
      <c r="I88">
        <f>NETWORKDAYS(F88,G88)</f>
        <v/>
      </c>
      <c r="J88">
        <f>IF(H88=I88,"OK","CHECK")</f>
        <v/>
      </c>
    </row>
    <row r="89">
      <c r="A89" t="inlineStr">
        <is>
          <t>OS02388</t>
        </is>
      </c>
      <c r="B89" t="inlineStr">
        <is>
          <t>Q2 2026</t>
        </is>
      </c>
      <c r="C89" t="inlineStr">
        <is>
          <t>PU08</t>
        </is>
      </c>
      <c r="D89" t="inlineStr">
        <is>
          <t>New therapy</t>
        </is>
      </c>
      <c r="E89" t="inlineStr">
        <is>
          <t>THERAPY_I</t>
        </is>
      </c>
      <c r="F89" s="10" t="n">
        <v>46111</v>
      </c>
      <c r="G89" s="10" t="n">
        <v>46155</v>
      </c>
      <c r="H89" t="n">
        <v>33</v>
      </c>
      <c r="I89">
        <f>NETWORKDAYS(F89,G89)</f>
        <v/>
      </c>
      <c r="J89">
        <f>IF(H89=I89,"OK","CHECK")</f>
        <v/>
      </c>
    </row>
    <row r="90">
      <c r="A90" t="inlineStr">
        <is>
          <t>OS02389</t>
        </is>
      </c>
      <c r="B90" t="inlineStr">
        <is>
          <t>Q2 2026</t>
        </is>
      </c>
      <c r="C90" t="inlineStr">
        <is>
          <t>PU01</t>
        </is>
      </c>
      <c r="D90" t="inlineStr">
        <is>
          <t>New patient</t>
        </is>
      </c>
      <c r="E90" t="inlineStr">
        <is>
          <t>THERAPY_A</t>
        </is>
      </c>
      <c r="F90" s="10" t="n">
        <v>46112</v>
      </c>
      <c r="G90" s="10" t="n">
        <v>46136</v>
      </c>
      <c r="H90" t="n">
        <v>19</v>
      </c>
      <c r="I90">
        <f>NETWORKDAYS(F90,G90)</f>
        <v/>
      </c>
      <c r="J90">
        <f>IF(H90=I90,"OK","CHECK")</f>
        <v/>
      </c>
    </row>
    <row r="91">
      <c r="A91" t="inlineStr">
        <is>
          <t>OS02391</t>
        </is>
      </c>
      <c r="B91" t="inlineStr">
        <is>
          <t>Q2 2026</t>
        </is>
      </c>
      <c r="C91" t="inlineStr">
        <is>
          <t>PU03</t>
        </is>
      </c>
      <c r="D91" t="inlineStr">
        <is>
          <t>New patient</t>
        </is>
      </c>
      <c r="E91" t="inlineStr">
        <is>
          <t>THERAPY_G</t>
        </is>
      </c>
      <c r="F91" s="10" t="n">
        <v>46112</v>
      </c>
      <c r="G91" s="10" t="n">
        <v>46153</v>
      </c>
      <c r="H91" t="n">
        <v>30</v>
      </c>
      <c r="I91">
        <f>NETWORKDAYS(F91,G91)</f>
        <v/>
      </c>
      <c r="J91">
        <f>IF(H91=I91,"OK","CHECK")</f>
        <v/>
      </c>
    </row>
    <row r="92">
      <c r="A92" t="inlineStr">
        <is>
          <t>OS02392</t>
        </is>
      </c>
      <c r="B92" t="inlineStr">
        <is>
          <t>Q2 2026</t>
        </is>
      </c>
      <c r="C92" t="inlineStr">
        <is>
          <t>PU99</t>
        </is>
      </c>
      <c r="D92" t="inlineStr">
        <is>
          <t>New patient</t>
        </is>
      </c>
      <c r="E92" t="inlineStr">
        <is>
          <t>THERAPY_H</t>
        </is>
      </c>
      <c r="F92" s="10" t="n">
        <v>46112</v>
      </c>
      <c r="G92" s="10" t="n">
        <v>46121</v>
      </c>
      <c r="H92" t="n">
        <v>8</v>
      </c>
      <c r="I92">
        <f>NETWORKDAYS(F92,G92)</f>
        <v/>
      </c>
      <c r="J92">
        <f>IF(H92=I92,"OK","CHECK")</f>
        <v/>
      </c>
    </row>
    <row r="93">
      <c r="A93" t="inlineStr">
        <is>
          <t>OS02393</t>
        </is>
      </c>
      <c r="B93" t="inlineStr">
        <is>
          <t>Q2 2026</t>
        </is>
      </c>
      <c r="C93" t="inlineStr">
        <is>
          <t>PU99</t>
        </is>
      </c>
      <c r="D93" t="inlineStr">
        <is>
          <t>New patient</t>
        </is>
      </c>
      <c r="E93" t="inlineStr">
        <is>
          <t>THERAPY_D</t>
        </is>
      </c>
      <c r="F93" s="10" t="n">
        <v>46112</v>
      </c>
      <c r="G93" s="10" t="n">
        <v>46154</v>
      </c>
      <c r="H93" t="n">
        <v>31</v>
      </c>
      <c r="I93">
        <f>NETWORKDAYS(F93,G93)</f>
        <v/>
      </c>
      <c r="J93">
        <f>IF(H93=I93,"OK","CHECK")</f>
        <v/>
      </c>
    </row>
    <row r="94">
      <c r="A94" t="inlineStr">
        <is>
          <t>OS02394</t>
        </is>
      </c>
      <c r="B94" t="inlineStr">
        <is>
          <t>Q2 2026</t>
        </is>
      </c>
      <c r="C94" t="inlineStr">
        <is>
          <t>PU07</t>
        </is>
      </c>
      <c r="D94" t="inlineStr">
        <is>
          <t>New patient</t>
        </is>
      </c>
      <c r="E94" t="inlineStr">
        <is>
          <t>THERAPY_C</t>
        </is>
      </c>
      <c r="F94" s="10" t="n">
        <v>46112</v>
      </c>
      <c r="G94" s="10" t="n">
        <v>46140</v>
      </c>
      <c r="H94" t="n">
        <v>21</v>
      </c>
      <c r="I94">
        <f>NETWORKDAYS(F94,G94)</f>
        <v/>
      </c>
      <c r="J94">
        <f>IF(H94=I94,"OK","CHECK")</f>
        <v/>
      </c>
    </row>
    <row r="95">
      <c r="A95" t="inlineStr">
        <is>
          <t>OS02398</t>
        </is>
      </c>
      <c r="B95" t="inlineStr">
        <is>
          <t>Q2 2026</t>
        </is>
      </c>
      <c r="C95" t="inlineStr">
        <is>
          <t>PU06</t>
        </is>
      </c>
      <c r="D95" t="inlineStr">
        <is>
          <t>New patient</t>
        </is>
      </c>
      <c r="E95" t="inlineStr">
        <is>
          <t>THERAPY_E</t>
        </is>
      </c>
      <c r="F95" s="10" t="n">
        <v>46113</v>
      </c>
      <c r="G95" s="10" t="n">
        <v>46135</v>
      </c>
      <c r="H95" t="n">
        <v>17</v>
      </c>
      <c r="I95">
        <f>NETWORKDAYS(F95,G95)</f>
        <v/>
      </c>
      <c r="J95">
        <f>IF(H95=I95,"OK","CHECK")</f>
        <v/>
      </c>
    </row>
    <row r="96">
      <c r="A96" t="inlineStr">
        <is>
          <t>OS02399</t>
        </is>
      </c>
      <c r="B96" t="inlineStr">
        <is>
          <t>Q2 2026</t>
        </is>
      </c>
      <c r="C96" t="inlineStr">
        <is>
          <t>PU06</t>
        </is>
      </c>
      <c r="D96" t="inlineStr">
        <is>
          <t>New patient</t>
        </is>
      </c>
      <c r="E96" t="inlineStr">
        <is>
          <t>THERAPY_C</t>
        </is>
      </c>
      <c r="F96" s="10" t="n">
        <v>46113</v>
      </c>
      <c r="G96" s="10" t="n">
        <v>46132</v>
      </c>
      <c r="H96" t="n">
        <v>14</v>
      </c>
      <c r="I96">
        <f>NETWORKDAYS(F96,G96)</f>
        <v/>
      </c>
      <c r="J96">
        <f>IF(H96=I96,"OK","CHECK")</f>
        <v/>
      </c>
    </row>
    <row r="97">
      <c r="A97" t="inlineStr">
        <is>
          <t>OS02403</t>
        </is>
      </c>
      <c r="B97" t="inlineStr">
        <is>
          <t>Q2 2026</t>
        </is>
      </c>
      <c r="C97" t="inlineStr">
        <is>
          <t>PU08</t>
        </is>
      </c>
      <c r="D97" t="inlineStr">
        <is>
          <t>New patient</t>
        </is>
      </c>
      <c r="E97" t="inlineStr">
        <is>
          <t>THERAPY_B</t>
        </is>
      </c>
      <c r="F97" s="10" t="n">
        <v>46113</v>
      </c>
      <c r="G97" s="10" t="n">
        <v>46154</v>
      </c>
      <c r="H97" t="n">
        <v>30</v>
      </c>
      <c r="I97">
        <f>NETWORKDAYS(F97,G97)</f>
        <v/>
      </c>
      <c r="J97">
        <f>IF(H97=I97,"OK","CHECK")</f>
        <v/>
      </c>
    </row>
    <row r="98">
      <c r="A98" t="inlineStr">
        <is>
          <t>OS02404</t>
        </is>
      </c>
      <c r="B98" t="inlineStr">
        <is>
          <t>Q2 2026</t>
        </is>
      </c>
      <c r="C98" t="inlineStr">
        <is>
          <t>PU01</t>
        </is>
      </c>
      <c r="D98" t="inlineStr">
        <is>
          <t>New patient</t>
        </is>
      </c>
      <c r="E98" t="inlineStr">
        <is>
          <t>THERAPY_B</t>
        </is>
      </c>
      <c r="F98" s="10" t="n">
        <v>46113</v>
      </c>
      <c r="G98" s="10" t="n">
        <v>46141</v>
      </c>
      <c r="H98" t="n">
        <v>21</v>
      </c>
      <c r="I98">
        <f>NETWORKDAYS(F98,G98)</f>
        <v/>
      </c>
      <c r="J98">
        <f>IF(H98=I98,"OK","CHECK")</f>
        <v/>
      </c>
    </row>
    <row r="99">
      <c r="A99" t="inlineStr">
        <is>
          <t>OS02405</t>
        </is>
      </c>
      <c r="B99" t="inlineStr">
        <is>
          <t>Q2 2026</t>
        </is>
      </c>
      <c r="C99" t="inlineStr">
        <is>
          <t>PU99</t>
        </is>
      </c>
      <c r="D99" t="inlineStr">
        <is>
          <t>New patient</t>
        </is>
      </c>
      <c r="E99" t="inlineStr">
        <is>
          <t>THERAPY_G</t>
        </is>
      </c>
      <c r="F99" s="10" t="n">
        <v>46113</v>
      </c>
      <c r="G99" s="10" t="n">
        <v>46136</v>
      </c>
      <c r="H99" t="n">
        <v>18</v>
      </c>
      <c r="I99">
        <f>NETWORKDAYS(F99,G99)</f>
        <v/>
      </c>
      <c r="J99">
        <f>IF(H99=I99,"OK","CHECK")</f>
        <v/>
      </c>
    </row>
    <row r="100">
      <c r="A100" t="inlineStr">
        <is>
          <t>OS02407</t>
        </is>
      </c>
      <c r="B100" t="inlineStr">
        <is>
          <t>Q2 2026</t>
        </is>
      </c>
      <c r="C100" t="inlineStr">
        <is>
          <t>PU07</t>
        </is>
      </c>
      <c r="D100" t="inlineStr">
        <is>
          <t>New patient</t>
        </is>
      </c>
      <c r="E100" t="inlineStr">
        <is>
          <t>THERAPY_B</t>
        </is>
      </c>
      <c r="F100" s="10" t="n">
        <v>46114</v>
      </c>
      <c r="G100" s="10" t="n">
        <v>46153</v>
      </c>
      <c r="H100" t="n">
        <v>28</v>
      </c>
      <c r="I100">
        <f>NETWORKDAYS(F100,G100)</f>
        <v/>
      </c>
      <c r="J100">
        <f>IF(H100=I100,"OK","CHECK")</f>
        <v/>
      </c>
    </row>
    <row r="101">
      <c r="A101" t="inlineStr">
        <is>
          <t>OS02410</t>
        </is>
      </c>
      <c r="B101" t="inlineStr">
        <is>
          <t>Q2 2026</t>
        </is>
      </c>
      <c r="C101" t="inlineStr">
        <is>
          <t>PU10</t>
        </is>
      </c>
      <c r="D101" t="inlineStr">
        <is>
          <t>New patient</t>
        </is>
      </c>
      <c r="E101" t="inlineStr">
        <is>
          <t>THERAPY_F</t>
        </is>
      </c>
      <c r="F101" s="10" t="n">
        <v>46114</v>
      </c>
      <c r="G101" s="10" t="n">
        <v>46148</v>
      </c>
      <c r="H101" t="n">
        <v>25</v>
      </c>
      <c r="I101">
        <f>NETWORKDAYS(F101,G101)</f>
        <v/>
      </c>
      <c r="J101">
        <f>IF(H101=I101,"OK","CHECK")</f>
        <v/>
      </c>
    </row>
    <row r="102">
      <c r="A102" t="inlineStr">
        <is>
          <t>OS02411</t>
        </is>
      </c>
      <c r="B102" t="inlineStr">
        <is>
          <t>Q2 2026</t>
        </is>
      </c>
      <c r="C102" t="inlineStr">
        <is>
          <t>PU03</t>
        </is>
      </c>
      <c r="D102" t="inlineStr">
        <is>
          <t>New patient</t>
        </is>
      </c>
      <c r="E102" t="inlineStr">
        <is>
          <t>THERAPY_I</t>
        </is>
      </c>
      <c r="F102" s="10" t="n">
        <v>46114</v>
      </c>
      <c r="G102" s="10" t="n">
        <v>46153</v>
      </c>
      <c r="H102" t="n">
        <v>28</v>
      </c>
      <c r="I102">
        <f>NETWORKDAYS(F102,G102)</f>
        <v/>
      </c>
      <c r="J102">
        <f>IF(H102=I102,"OK","CHECK")</f>
        <v/>
      </c>
    </row>
    <row r="103">
      <c r="A103" t="inlineStr">
        <is>
          <t>OS02412</t>
        </is>
      </c>
      <c r="B103" t="inlineStr">
        <is>
          <t>Q2 2026</t>
        </is>
      </c>
      <c r="C103" t="inlineStr">
        <is>
          <t>PU04</t>
        </is>
      </c>
      <c r="D103" t="inlineStr">
        <is>
          <t>New patient</t>
        </is>
      </c>
      <c r="E103" t="inlineStr">
        <is>
          <t>THERAPY_E</t>
        </is>
      </c>
      <c r="F103" s="10" t="n">
        <v>46115</v>
      </c>
      <c r="G103" s="10" t="n">
        <v>46132</v>
      </c>
      <c r="H103" t="n">
        <v>12</v>
      </c>
      <c r="I103">
        <f>NETWORKDAYS(F103,G103)</f>
        <v/>
      </c>
      <c r="J103">
        <f>IF(H103=I103,"OK","CHECK")</f>
        <v/>
      </c>
    </row>
    <row r="104">
      <c r="A104" t="inlineStr">
        <is>
          <t>OS02413</t>
        </is>
      </c>
      <c r="B104" t="inlineStr">
        <is>
          <t>Q2 2026</t>
        </is>
      </c>
      <c r="C104" t="inlineStr">
        <is>
          <t>PU03</t>
        </is>
      </c>
      <c r="D104" t="inlineStr">
        <is>
          <t>New patient</t>
        </is>
      </c>
      <c r="E104" t="inlineStr">
        <is>
          <t>THERAPY_I</t>
        </is>
      </c>
      <c r="F104" s="10" t="n">
        <v>46115</v>
      </c>
      <c r="G104" s="10" t="n">
        <v>46146</v>
      </c>
      <c r="H104" t="n">
        <v>22</v>
      </c>
      <c r="I104">
        <f>NETWORKDAYS(F104,G104)</f>
        <v/>
      </c>
      <c r="J104">
        <f>IF(H104=I104,"OK","CHECK")</f>
        <v/>
      </c>
    </row>
    <row r="105">
      <c r="A105" t="inlineStr">
        <is>
          <t>OS02414</t>
        </is>
      </c>
      <c r="B105" t="inlineStr">
        <is>
          <t>Q2 2026</t>
        </is>
      </c>
      <c r="C105" t="inlineStr">
        <is>
          <t>PU05</t>
        </is>
      </c>
      <c r="D105" t="inlineStr">
        <is>
          <t>New patient</t>
        </is>
      </c>
      <c r="E105" t="inlineStr">
        <is>
          <t>THERAPY_I</t>
        </is>
      </c>
      <c r="F105" s="10" t="n">
        <v>46115</v>
      </c>
      <c r="G105" s="10" t="n">
        <v>46178</v>
      </c>
      <c r="H105" t="n">
        <v>46</v>
      </c>
      <c r="I105">
        <f>NETWORKDAYS(F105,G105)</f>
        <v/>
      </c>
      <c r="J105">
        <f>IF(H105=I105,"OK","CHECK")</f>
        <v/>
      </c>
    </row>
    <row r="106">
      <c r="A106" t="inlineStr">
        <is>
          <t>OS02415</t>
        </is>
      </c>
      <c r="B106" t="inlineStr">
        <is>
          <t>Q2 2026</t>
        </is>
      </c>
      <c r="C106" t="inlineStr">
        <is>
          <t>PU03</t>
        </is>
      </c>
      <c r="D106" t="inlineStr">
        <is>
          <t>New therapy</t>
        </is>
      </c>
      <c r="E106" t="inlineStr">
        <is>
          <t>THERAPY_C</t>
        </is>
      </c>
      <c r="F106" s="10" t="n">
        <v>46115</v>
      </c>
      <c r="G106" s="10" t="n">
        <v>46139</v>
      </c>
      <c r="H106" t="n">
        <v>17</v>
      </c>
      <c r="I106">
        <f>NETWORKDAYS(F106,G106)</f>
        <v/>
      </c>
      <c r="J106">
        <f>IF(H106=I106,"OK","CHECK")</f>
        <v/>
      </c>
    </row>
    <row r="107">
      <c r="A107" t="inlineStr">
        <is>
          <t>OS02417</t>
        </is>
      </c>
      <c r="B107" t="inlineStr">
        <is>
          <t>Q2 2026</t>
        </is>
      </c>
      <c r="C107" t="inlineStr">
        <is>
          <t>PU02</t>
        </is>
      </c>
      <c r="D107" t="inlineStr">
        <is>
          <t>New patient</t>
        </is>
      </c>
      <c r="E107" t="inlineStr">
        <is>
          <t>THERAPY_G</t>
        </is>
      </c>
      <c r="F107" s="10" t="n">
        <v>46115</v>
      </c>
      <c r="G107" s="10" t="n">
        <v>46161</v>
      </c>
      <c r="H107" t="n">
        <v>33</v>
      </c>
      <c r="I107">
        <f>NETWORKDAYS(F107,G107)</f>
        <v/>
      </c>
      <c r="J107">
        <f>IF(H107=I107,"OK","CHECK")</f>
        <v/>
      </c>
    </row>
    <row r="108">
      <c r="A108" t="inlineStr">
        <is>
          <t>OS02418</t>
        </is>
      </c>
      <c r="B108" t="inlineStr">
        <is>
          <t>Q2 2026</t>
        </is>
      </c>
      <c r="C108" t="inlineStr">
        <is>
          <t>PU02</t>
        </is>
      </c>
      <c r="D108" t="inlineStr">
        <is>
          <t>New patient</t>
        </is>
      </c>
      <c r="E108" t="inlineStr">
        <is>
          <t>THERAPY_F</t>
        </is>
      </c>
      <c r="F108" s="10" t="n">
        <v>46118</v>
      </c>
      <c r="G108" s="10" t="n">
        <v>46142</v>
      </c>
      <c r="H108" t="n">
        <v>19</v>
      </c>
      <c r="I108">
        <f>NETWORKDAYS(F108,G108)</f>
        <v/>
      </c>
      <c r="J108">
        <f>IF(H108=I108,"OK","CHECK")</f>
        <v/>
      </c>
    </row>
    <row r="109">
      <c r="A109" t="inlineStr">
        <is>
          <t>OS02419</t>
        </is>
      </c>
      <c r="B109" t="inlineStr">
        <is>
          <t>Q2 2026</t>
        </is>
      </c>
      <c r="C109" t="inlineStr">
        <is>
          <t>PU03</t>
        </is>
      </c>
      <c r="D109" t="inlineStr">
        <is>
          <t>New patient</t>
        </is>
      </c>
      <c r="E109" t="inlineStr">
        <is>
          <t>THERAPY_B</t>
        </is>
      </c>
      <c r="F109" s="10" t="n">
        <v>46118</v>
      </c>
      <c r="G109" s="10" t="n">
        <v>46156</v>
      </c>
      <c r="H109" t="n">
        <v>29</v>
      </c>
      <c r="I109">
        <f>NETWORKDAYS(F109,G109)</f>
        <v/>
      </c>
      <c r="J109">
        <f>IF(H109=I109,"OK","CHECK")</f>
        <v/>
      </c>
    </row>
    <row r="110">
      <c r="A110" t="inlineStr">
        <is>
          <t>OS02421</t>
        </is>
      </c>
      <c r="B110" t="inlineStr">
        <is>
          <t>Q2 2026</t>
        </is>
      </c>
      <c r="C110" t="inlineStr">
        <is>
          <t>PU07</t>
        </is>
      </c>
      <c r="D110" t="inlineStr">
        <is>
          <t>New patient</t>
        </is>
      </c>
      <c r="E110" t="inlineStr">
        <is>
          <t>THERAPY_B</t>
        </is>
      </c>
      <c r="F110" s="10" t="n">
        <v>46118</v>
      </c>
      <c r="G110" s="10" t="n">
        <v>46147</v>
      </c>
      <c r="H110" t="n">
        <v>22</v>
      </c>
      <c r="I110">
        <f>NETWORKDAYS(F110,G110)</f>
        <v/>
      </c>
      <c r="J110">
        <f>IF(H110=I110,"OK","CHECK")</f>
        <v/>
      </c>
    </row>
    <row r="111">
      <c r="A111" t="inlineStr">
        <is>
          <t>OS02422</t>
        </is>
      </c>
      <c r="B111" t="inlineStr">
        <is>
          <t>Q2 2026</t>
        </is>
      </c>
      <c r="C111" t="inlineStr">
        <is>
          <t>PU07</t>
        </is>
      </c>
      <c r="D111" t="inlineStr">
        <is>
          <t>New patient</t>
        </is>
      </c>
      <c r="E111" t="inlineStr">
        <is>
          <t>THERAPY_I</t>
        </is>
      </c>
      <c r="F111" s="10" t="n">
        <v>46118</v>
      </c>
      <c r="G111" s="10" t="n">
        <v>46135</v>
      </c>
      <c r="H111" t="n">
        <v>14</v>
      </c>
      <c r="I111">
        <f>NETWORKDAYS(F111,G111)</f>
        <v/>
      </c>
      <c r="J111">
        <f>IF(H111=I111,"OK","CHECK")</f>
        <v/>
      </c>
    </row>
    <row r="112">
      <c r="A112" t="inlineStr">
        <is>
          <t>OS02423</t>
        </is>
      </c>
      <c r="B112" t="inlineStr">
        <is>
          <t>Q2 2026</t>
        </is>
      </c>
      <c r="C112" t="inlineStr">
        <is>
          <t>PU05</t>
        </is>
      </c>
      <c r="D112" t="inlineStr">
        <is>
          <t>New therapy</t>
        </is>
      </c>
      <c r="E112" t="inlineStr">
        <is>
          <t>THERAPY_F</t>
        </is>
      </c>
      <c r="F112" s="10" t="n">
        <v>46118</v>
      </c>
      <c r="G112" s="10" t="n">
        <v>46141</v>
      </c>
      <c r="H112" t="n">
        <v>18</v>
      </c>
      <c r="I112">
        <f>NETWORKDAYS(F112,G112)</f>
        <v/>
      </c>
      <c r="J112">
        <f>IF(H112=I112,"OK","CHECK")</f>
        <v/>
      </c>
    </row>
    <row r="113">
      <c r="A113" t="inlineStr">
        <is>
          <t>OS02424</t>
        </is>
      </c>
      <c r="B113" t="inlineStr">
        <is>
          <t>Q2 2026</t>
        </is>
      </c>
      <c r="C113" t="inlineStr">
        <is>
          <t>PU02</t>
        </is>
      </c>
      <c r="D113" t="inlineStr">
        <is>
          <t>New patient</t>
        </is>
      </c>
      <c r="E113" t="inlineStr">
        <is>
          <t>THERAPY_B</t>
        </is>
      </c>
      <c r="F113" s="10" t="n">
        <v>46118</v>
      </c>
      <c r="G113" s="10" t="n">
        <v>46149</v>
      </c>
      <c r="H113" t="n">
        <v>24</v>
      </c>
      <c r="I113">
        <f>NETWORKDAYS(F113,G113)</f>
        <v/>
      </c>
      <c r="J113">
        <f>IF(H113=I113,"OK","CHECK")</f>
        <v/>
      </c>
    </row>
    <row r="114">
      <c r="A114" t="inlineStr">
        <is>
          <t>OS02427</t>
        </is>
      </c>
      <c r="B114" t="inlineStr">
        <is>
          <t>Q2 2026</t>
        </is>
      </c>
      <c r="C114" t="inlineStr">
        <is>
          <t>PU08</t>
        </is>
      </c>
      <c r="D114" t="inlineStr">
        <is>
          <t>New patient</t>
        </is>
      </c>
      <c r="E114" t="inlineStr">
        <is>
          <t>THERAPY_G</t>
        </is>
      </c>
      <c r="F114" s="10" t="n">
        <v>46119</v>
      </c>
      <c r="G114" s="10" t="n">
        <v>46139</v>
      </c>
      <c r="H114" t="n">
        <v>15</v>
      </c>
      <c r="I114">
        <f>NETWORKDAYS(F114,G114)</f>
        <v/>
      </c>
      <c r="J114">
        <f>IF(H114=I114,"OK","CHECK")</f>
        <v/>
      </c>
    </row>
    <row r="115">
      <c r="A115" t="inlineStr">
        <is>
          <t>OS02428</t>
        </is>
      </c>
      <c r="B115" t="inlineStr">
        <is>
          <t>Q2 2026</t>
        </is>
      </c>
      <c r="C115" t="inlineStr">
        <is>
          <t>PU06</t>
        </is>
      </c>
      <c r="D115" t="inlineStr">
        <is>
          <t>New therapy</t>
        </is>
      </c>
      <c r="E115" t="inlineStr">
        <is>
          <t>THERAPY_E</t>
        </is>
      </c>
      <c r="F115" s="10" t="n">
        <v>46119</v>
      </c>
      <c r="G115" s="10" t="n">
        <v>46139</v>
      </c>
      <c r="H115" t="n">
        <v>15</v>
      </c>
      <c r="I115">
        <f>NETWORKDAYS(F115,G115)</f>
        <v/>
      </c>
      <c r="J115">
        <f>IF(H115=I115,"OK","CHECK")</f>
        <v/>
      </c>
    </row>
    <row r="116">
      <c r="A116" t="inlineStr">
        <is>
          <t>OS02429</t>
        </is>
      </c>
      <c r="B116" t="inlineStr">
        <is>
          <t>Q2 2026</t>
        </is>
      </c>
      <c r="C116" t="inlineStr">
        <is>
          <t>PU07</t>
        </is>
      </c>
      <c r="D116" t="inlineStr">
        <is>
          <t>New patient</t>
        </is>
      </c>
      <c r="E116" t="inlineStr">
        <is>
          <t>THERAPY_G</t>
        </is>
      </c>
      <c r="F116" s="10" t="n">
        <v>46119</v>
      </c>
      <c r="G116" s="10" t="n">
        <v>46141</v>
      </c>
      <c r="H116" t="n">
        <v>17</v>
      </c>
      <c r="I116">
        <f>NETWORKDAYS(F116,G116)</f>
        <v/>
      </c>
      <c r="J116">
        <f>IF(H116=I116,"OK","CHECK")</f>
        <v/>
      </c>
    </row>
    <row r="117">
      <c r="A117" t="inlineStr">
        <is>
          <t>OS02433</t>
        </is>
      </c>
      <c r="B117" t="inlineStr">
        <is>
          <t>Q2 2026</t>
        </is>
      </c>
      <c r="C117" t="inlineStr">
        <is>
          <t>PU01</t>
        </is>
      </c>
      <c r="D117" t="inlineStr">
        <is>
          <t>New patient</t>
        </is>
      </c>
      <c r="E117" t="inlineStr">
        <is>
          <t>THERAPY_F</t>
        </is>
      </c>
      <c r="F117" s="10" t="n">
        <v>46119</v>
      </c>
      <c r="G117" s="10" t="n">
        <v>46154</v>
      </c>
      <c r="H117" t="n">
        <v>26</v>
      </c>
      <c r="I117">
        <f>NETWORKDAYS(F117,G117)</f>
        <v/>
      </c>
      <c r="J117">
        <f>IF(H117=I117,"OK","CHECK")</f>
        <v/>
      </c>
    </row>
    <row r="118">
      <c r="A118" t="inlineStr">
        <is>
          <t>OS02434</t>
        </is>
      </c>
      <c r="B118" t="inlineStr">
        <is>
          <t>Q2 2026</t>
        </is>
      </c>
      <c r="C118" t="inlineStr">
        <is>
          <t>PU99</t>
        </is>
      </c>
      <c r="D118" t="inlineStr">
        <is>
          <t>New therapy</t>
        </is>
      </c>
      <c r="E118" t="inlineStr">
        <is>
          <t>THERAPY_H</t>
        </is>
      </c>
      <c r="F118" s="10" t="n">
        <v>46119</v>
      </c>
      <c r="G118" s="10" t="n">
        <v>46150</v>
      </c>
      <c r="H118" t="n">
        <v>24</v>
      </c>
      <c r="I118">
        <f>NETWORKDAYS(F118,G118)</f>
        <v/>
      </c>
      <c r="J118">
        <f>IF(H118=I118,"OK","CHECK")</f>
        <v/>
      </c>
    </row>
    <row r="119">
      <c r="A119" t="inlineStr">
        <is>
          <t>OS02436</t>
        </is>
      </c>
      <c r="B119" t="inlineStr">
        <is>
          <t>Q2 2026</t>
        </is>
      </c>
      <c r="C119" t="inlineStr">
        <is>
          <t>PU06</t>
        </is>
      </c>
      <c r="D119" t="inlineStr">
        <is>
          <t>New patient</t>
        </is>
      </c>
      <c r="E119" t="inlineStr">
        <is>
          <t>THERAPY_A</t>
        </is>
      </c>
      <c r="F119" s="10" t="n">
        <v>46119</v>
      </c>
      <c r="G119" s="10" t="n">
        <v>46141</v>
      </c>
      <c r="H119" t="n">
        <v>17</v>
      </c>
      <c r="I119">
        <f>NETWORKDAYS(F119,G119)</f>
        <v/>
      </c>
      <c r="J119">
        <f>IF(H119=I119,"OK","CHECK")</f>
        <v/>
      </c>
    </row>
    <row r="120">
      <c r="A120" t="inlineStr">
        <is>
          <t>OS02437</t>
        </is>
      </c>
      <c r="B120" t="inlineStr">
        <is>
          <t>Q2 2026</t>
        </is>
      </c>
      <c r="C120" t="inlineStr">
        <is>
          <t>PU03</t>
        </is>
      </c>
      <c r="D120" t="inlineStr">
        <is>
          <t>New patient</t>
        </is>
      </c>
      <c r="E120" t="inlineStr">
        <is>
          <t>THERAPY_J</t>
        </is>
      </c>
      <c r="F120" s="10" t="n">
        <v>46119</v>
      </c>
      <c r="G120" s="10" t="n">
        <v>46135</v>
      </c>
      <c r="H120" t="n">
        <v>13</v>
      </c>
      <c r="I120">
        <f>NETWORKDAYS(F120,G120)</f>
        <v/>
      </c>
      <c r="J120">
        <f>IF(H120=I120,"OK","CHECK")</f>
        <v/>
      </c>
    </row>
    <row r="121">
      <c r="A121" t="inlineStr">
        <is>
          <t>OS02438</t>
        </is>
      </c>
      <c r="B121" t="inlineStr">
        <is>
          <t>Q2 2026</t>
        </is>
      </c>
      <c r="C121" t="inlineStr">
        <is>
          <t>PU01</t>
        </is>
      </c>
      <c r="D121" t="inlineStr">
        <is>
          <t>New patient</t>
        </is>
      </c>
      <c r="E121" t="inlineStr">
        <is>
          <t>THERAPY_C</t>
        </is>
      </c>
      <c r="F121" s="10" t="n">
        <v>46119</v>
      </c>
      <c r="G121" s="10" t="n">
        <v>46150</v>
      </c>
      <c r="H121" t="n">
        <v>24</v>
      </c>
      <c r="I121">
        <f>NETWORKDAYS(F121,G121)</f>
        <v/>
      </c>
      <c r="J121">
        <f>IF(H121=I121,"OK","CHECK")</f>
        <v/>
      </c>
    </row>
    <row r="122">
      <c r="A122" t="inlineStr">
        <is>
          <t>OS02439</t>
        </is>
      </c>
      <c r="B122" t="inlineStr">
        <is>
          <t>Q2 2026</t>
        </is>
      </c>
      <c r="C122" t="inlineStr">
        <is>
          <t>PU07</t>
        </is>
      </c>
      <c r="D122" t="inlineStr">
        <is>
          <t>New patient</t>
        </is>
      </c>
      <c r="E122" t="inlineStr">
        <is>
          <t>THERAPY_B</t>
        </is>
      </c>
      <c r="F122" s="10" t="n">
        <v>46153</v>
      </c>
      <c r="G122" s="10" t="n">
        <v>46148</v>
      </c>
      <c r="H122" t="n">
        <v>-4</v>
      </c>
      <c r="I122">
        <f>NETWORKDAYS(F122,G122)</f>
        <v/>
      </c>
      <c r="J122">
        <f>IF(H122=I122,"OK","CHECK")</f>
        <v/>
      </c>
    </row>
    <row r="123">
      <c r="A123" t="inlineStr">
        <is>
          <t>OS02441</t>
        </is>
      </c>
      <c r="B123" t="inlineStr">
        <is>
          <t>Q2 2026</t>
        </is>
      </c>
      <c r="C123" t="inlineStr">
        <is>
          <t>PU01</t>
        </is>
      </c>
      <c r="D123" t="inlineStr">
        <is>
          <t>New patient</t>
        </is>
      </c>
      <c r="E123" t="inlineStr">
        <is>
          <t>THERAPY_E</t>
        </is>
      </c>
      <c r="F123" s="10" t="n">
        <v>46120</v>
      </c>
      <c r="G123" s="10" t="n">
        <v>46146</v>
      </c>
      <c r="H123" t="n">
        <v>19</v>
      </c>
      <c r="I123">
        <f>NETWORKDAYS(F123,G123)</f>
        <v/>
      </c>
      <c r="J123">
        <f>IF(H123=I123,"OK","CHECK")</f>
        <v/>
      </c>
    </row>
    <row r="124">
      <c r="A124" t="inlineStr">
        <is>
          <t>OS02442</t>
        </is>
      </c>
      <c r="B124" t="inlineStr">
        <is>
          <t>Q2 2026</t>
        </is>
      </c>
      <c r="C124" t="inlineStr">
        <is>
          <t>PU09</t>
        </is>
      </c>
      <c r="D124" t="inlineStr">
        <is>
          <t>New patient</t>
        </is>
      </c>
      <c r="E124" t="inlineStr">
        <is>
          <t>THERAPY_I</t>
        </is>
      </c>
      <c r="F124" s="10" t="n">
        <v>46120</v>
      </c>
      <c r="G124" s="10" t="n">
        <v>46150</v>
      </c>
      <c r="H124" t="n">
        <v>23</v>
      </c>
      <c r="I124">
        <f>NETWORKDAYS(F124,G124)</f>
        <v/>
      </c>
      <c r="J124">
        <f>IF(H124=I124,"OK","CHECK")</f>
        <v/>
      </c>
    </row>
    <row r="125">
      <c r="A125" t="inlineStr">
        <is>
          <t>OS02444</t>
        </is>
      </c>
      <c r="B125" t="inlineStr">
        <is>
          <t>Q3 2026</t>
        </is>
      </c>
      <c r="C125" t="inlineStr">
        <is>
          <t>PU04</t>
        </is>
      </c>
      <c r="D125" t="inlineStr">
        <is>
          <t>New patient</t>
        </is>
      </c>
      <c r="E125" t="inlineStr">
        <is>
          <t>THERAPY_J</t>
        </is>
      </c>
      <c r="F125" s="10" t="n">
        <v>46120</v>
      </c>
      <c r="G125" s="10" t="n">
        <v>46204</v>
      </c>
      <c r="H125" t="n">
        <v>61</v>
      </c>
      <c r="I125">
        <f>NETWORKDAYS(F125,G125)</f>
        <v/>
      </c>
      <c r="J125">
        <f>IF(H125=I125,"OK","CHECK")</f>
        <v/>
      </c>
    </row>
    <row r="126">
      <c r="A126" t="inlineStr">
        <is>
          <t>OS02445</t>
        </is>
      </c>
      <c r="B126" t="inlineStr">
        <is>
          <t>Q2 2026</t>
        </is>
      </c>
      <c r="C126" t="inlineStr">
        <is>
          <t>PU04</t>
        </is>
      </c>
      <c r="D126" t="inlineStr">
        <is>
          <t>New patient</t>
        </is>
      </c>
      <c r="E126" t="inlineStr">
        <is>
          <t>THERAPY_B</t>
        </is>
      </c>
      <c r="F126" s="10" t="n">
        <v>46121</v>
      </c>
      <c r="G126" s="10" t="n">
        <v>46140</v>
      </c>
      <c r="H126" t="n">
        <v>14</v>
      </c>
      <c r="I126">
        <f>NETWORKDAYS(F126,G126)</f>
        <v/>
      </c>
      <c r="J126">
        <f>IF(H126=I126,"OK","CHECK")</f>
        <v/>
      </c>
    </row>
    <row r="127">
      <c r="A127" t="inlineStr">
        <is>
          <t>OS02446</t>
        </is>
      </c>
      <c r="B127" t="inlineStr">
        <is>
          <t>Q2 2026</t>
        </is>
      </c>
      <c r="C127" t="inlineStr">
        <is>
          <t>PU01</t>
        </is>
      </c>
      <c r="D127" t="inlineStr">
        <is>
          <t>New patient</t>
        </is>
      </c>
      <c r="E127" t="inlineStr">
        <is>
          <t>THERAPY_H</t>
        </is>
      </c>
      <c r="F127" s="10" t="n">
        <v>46121</v>
      </c>
      <c r="G127" s="10" t="n">
        <v>46139</v>
      </c>
      <c r="H127" t="n">
        <v>13</v>
      </c>
      <c r="I127">
        <f>NETWORKDAYS(F127,G127)</f>
        <v/>
      </c>
      <c r="J127">
        <f>IF(H127=I127,"OK","CHECK")</f>
        <v/>
      </c>
    </row>
    <row r="128">
      <c r="A128" t="inlineStr">
        <is>
          <t>OS02448</t>
        </is>
      </c>
      <c r="B128" t="inlineStr">
        <is>
          <t>Q2 2026</t>
        </is>
      </c>
      <c r="C128" t="inlineStr">
        <is>
          <t>PU99</t>
        </is>
      </c>
      <c r="D128" t="inlineStr">
        <is>
          <t>New patient</t>
        </is>
      </c>
      <c r="E128" t="inlineStr">
        <is>
          <t>THERAPY_I</t>
        </is>
      </c>
      <c r="F128" s="10" t="n">
        <v>46121</v>
      </c>
      <c r="G128" s="10" t="n">
        <v>46141</v>
      </c>
      <c r="H128" t="n">
        <v>15</v>
      </c>
      <c r="I128">
        <f>NETWORKDAYS(F128,G128)</f>
        <v/>
      </c>
      <c r="J128">
        <f>IF(H128=I128,"OK","CHECK")</f>
        <v/>
      </c>
    </row>
    <row r="129">
      <c r="A129" t="inlineStr">
        <is>
          <t>OS02449</t>
        </is>
      </c>
      <c r="B129" t="inlineStr">
        <is>
          <t>Q2 2026</t>
        </is>
      </c>
      <c r="C129" t="inlineStr">
        <is>
          <t>PU10</t>
        </is>
      </c>
      <c r="D129" t="inlineStr">
        <is>
          <t>New patient</t>
        </is>
      </c>
      <c r="E129" t="inlineStr">
        <is>
          <t>THERAPY_C</t>
        </is>
      </c>
      <c r="F129" s="10" t="n">
        <v>46122</v>
      </c>
      <c r="G129" s="10" t="n">
        <v>46133</v>
      </c>
      <c r="H129" t="n">
        <v>8</v>
      </c>
      <c r="I129">
        <f>NETWORKDAYS(F129,G129)</f>
        <v/>
      </c>
      <c r="J129">
        <f>IF(H129=I129,"OK","CHECK")</f>
        <v/>
      </c>
    </row>
    <row r="130">
      <c r="A130" t="inlineStr">
        <is>
          <t>OS02450</t>
        </is>
      </c>
      <c r="B130" t="inlineStr">
        <is>
          <t>Q2 2026</t>
        </is>
      </c>
      <c r="C130" t="inlineStr">
        <is>
          <t>PU01</t>
        </is>
      </c>
      <c r="D130" t="inlineStr">
        <is>
          <t>New patient</t>
        </is>
      </c>
      <c r="E130" t="inlineStr">
        <is>
          <t>THERAPY_D</t>
        </is>
      </c>
      <c r="F130" s="10" t="n">
        <v>46122</v>
      </c>
      <c r="G130" s="10" t="n">
        <v>46143</v>
      </c>
      <c r="H130" t="n">
        <v>16</v>
      </c>
      <c r="I130">
        <f>NETWORKDAYS(F130,G130)</f>
        <v/>
      </c>
      <c r="J130">
        <f>IF(H130=I130,"OK","CHECK")</f>
        <v/>
      </c>
    </row>
    <row r="131">
      <c r="A131" t="inlineStr">
        <is>
          <t>OS02451</t>
        </is>
      </c>
      <c r="B131" t="inlineStr">
        <is>
          <t>Q2 2026</t>
        </is>
      </c>
      <c r="C131" t="inlineStr">
        <is>
          <t>PU05</t>
        </is>
      </c>
      <c r="D131" t="inlineStr">
        <is>
          <t>New patient</t>
        </is>
      </c>
      <c r="E131" t="inlineStr">
        <is>
          <t>THERAPY_G</t>
        </is>
      </c>
      <c r="F131" s="10" t="n">
        <v>46122</v>
      </c>
      <c r="G131" s="10" t="n">
        <v>46150</v>
      </c>
      <c r="H131" t="n">
        <v>21</v>
      </c>
      <c r="I131">
        <f>NETWORKDAYS(F131,G131)</f>
        <v/>
      </c>
      <c r="J131">
        <f>IF(H131=I131,"OK","CHECK")</f>
        <v/>
      </c>
    </row>
    <row r="132">
      <c r="A132" t="inlineStr">
        <is>
          <t>OS02452</t>
        </is>
      </c>
      <c r="B132" t="inlineStr">
        <is>
          <t>Q2 2026</t>
        </is>
      </c>
      <c r="C132" t="inlineStr">
        <is>
          <t>PU99</t>
        </is>
      </c>
      <c r="D132" t="inlineStr">
        <is>
          <t>New patient</t>
        </is>
      </c>
      <c r="E132" t="inlineStr">
        <is>
          <t>THERAPY_A</t>
        </is>
      </c>
      <c r="F132" s="10" t="n">
        <v>46122</v>
      </c>
      <c r="G132" s="10" t="n">
        <v>46142</v>
      </c>
      <c r="H132" t="n">
        <v>15</v>
      </c>
      <c r="I132">
        <f>NETWORKDAYS(F132,G132)</f>
        <v/>
      </c>
      <c r="J132">
        <f>IF(H132=I132,"OK","CHECK")</f>
        <v/>
      </c>
    </row>
    <row r="133">
      <c r="A133" t="inlineStr">
        <is>
          <t>OS02455</t>
        </is>
      </c>
      <c r="B133" t="inlineStr">
        <is>
          <t>Q2 2026</t>
        </is>
      </c>
      <c r="C133" t="inlineStr">
        <is>
          <t>PU01</t>
        </is>
      </c>
      <c r="D133" t="inlineStr">
        <is>
          <t>New patient</t>
        </is>
      </c>
      <c r="E133" t="inlineStr">
        <is>
          <t>THERAPY_B</t>
        </is>
      </c>
      <c r="F133" s="10" t="n">
        <v>46122</v>
      </c>
      <c r="G133" s="10" t="n">
        <v>46136</v>
      </c>
      <c r="H133" t="n">
        <v>11</v>
      </c>
      <c r="I133">
        <f>NETWORKDAYS(F133,G133)</f>
        <v/>
      </c>
      <c r="J133">
        <f>IF(H133=I133,"OK","CHECK")</f>
        <v/>
      </c>
    </row>
    <row r="134">
      <c r="A134" t="inlineStr">
        <is>
          <t>OS02457</t>
        </is>
      </c>
      <c r="B134" t="inlineStr">
        <is>
          <t>Q2 2026</t>
        </is>
      </c>
      <c r="C134" t="inlineStr">
        <is>
          <t>PU04</t>
        </is>
      </c>
      <c r="D134" t="inlineStr">
        <is>
          <t>New therapy</t>
        </is>
      </c>
      <c r="E134" t="inlineStr">
        <is>
          <t>THERAPY_F</t>
        </is>
      </c>
      <c r="F134" s="10" t="n">
        <v>46122</v>
      </c>
      <c r="G134" s="10" t="n">
        <v>46157</v>
      </c>
      <c r="H134" t="n">
        <v>26</v>
      </c>
      <c r="I134">
        <f>NETWORKDAYS(F134,G134)</f>
        <v/>
      </c>
      <c r="J134">
        <f>IF(H134=I134,"OK","CHECK")</f>
        <v/>
      </c>
    </row>
    <row r="135">
      <c r="A135" t="inlineStr">
        <is>
          <t>OS02458</t>
        </is>
      </c>
      <c r="B135" t="inlineStr">
        <is>
          <t>Q2 2026</t>
        </is>
      </c>
      <c r="C135" t="inlineStr">
        <is>
          <t>PU09</t>
        </is>
      </c>
      <c r="D135" t="inlineStr">
        <is>
          <t>New therapy</t>
        </is>
      </c>
      <c r="E135" t="inlineStr">
        <is>
          <t>THERAPY_E</t>
        </is>
      </c>
      <c r="F135" s="10" t="n">
        <v>46122</v>
      </c>
      <c r="G135" s="10" t="n">
        <v>46134</v>
      </c>
      <c r="H135" t="n">
        <v>9</v>
      </c>
      <c r="I135">
        <f>NETWORKDAYS(F135,G135)</f>
        <v/>
      </c>
      <c r="J135">
        <f>IF(H135=I135,"OK","CHECK")</f>
        <v/>
      </c>
    </row>
    <row r="136">
      <c r="A136" t="inlineStr">
        <is>
          <t>OS02461</t>
        </is>
      </c>
      <c r="B136" t="inlineStr">
        <is>
          <t>Q3 2026</t>
        </is>
      </c>
      <c r="C136" t="inlineStr">
        <is>
          <t>PU04</t>
        </is>
      </c>
      <c r="D136" t="inlineStr">
        <is>
          <t>New patient</t>
        </is>
      </c>
      <c r="E136" t="inlineStr">
        <is>
          <t>THERAPY_H</t>
        </is>
      </c>
      <c r="F136" s="10" t="n">
        <v>46125</v>
      </c>
      <c r="G136" s="10" t="n">
        <v>46210</v>
      </c>
      <c r="H136" t="n">
        <v>62</v>
      </c>
      <c r="I136">
        <f>NETWORKDAYS(F136,G136)</f>
        <v/>
      </c>
      <c r="J136">
        <f>IF(H136=I136,"OK","CHECK")</f>
        <v/>
      </c>
    </row>
    <row r="137">
      <c r="A137" t="inlineStr">
        <is>
          <t>OS02462</t>
        </is>
      </c>
      <c r="B137" t="inlineStr">
        <is>
          <t>Q2 2026</t>
        </is>
      </c>
      <c r="C137" t="inlineStr">
        <is>
          <t>PU99</t>
        </is>
      </c>
      <c r="D137" t="inlineStr">
        <is>
          <t>New therapy</t>
        </is>
      </c>
      <c r="E137" t="inlineStr">
        <is>
          <t>THERAPY_B</t>
        </is>
      </c>
      <c r="F137" s="10" t="n">
        <v>46125</v>
      </c>
      <c r="G137" s="10" t="n">
        <v>46155</v>
      </c>
      <c r="H137" t="n">
        <v>23</v>
      </c>
      <c r="I137">
        <f>NETWORKDAYS(F137,G137)</f>
        <v/>
      </c>
      <c r="J137">
        <f>IF(H137=I137,"OK","CHECK")</f>
        <v/>
      </c>
    </row>
    <row r="138">
      <c r="A138" t="inlineStr">
        <is>
          <t>OS02463</t>
        </is>
      </c>
      <c r="B138" t="inlineStr">
        <is>
          <t>Q2 2026</t>
        </is>
      </c>
      <c r="C138" t="inlineStr">
        <is>
          <t>PU06</t>
        </is>
      </c>
      <c r="D138" t="inlineStr">
        <is>
          <t>New patient</t>
        </is>
      </c>
      <c r="E138" t="inlineStr">
        <is>
          <t>THERAPY_A</t>
        </is>
      </c>
      <c r="F138" s="10" t="n">
        <v>46125</v>
      </c>
      <c r="G138" s="10" t="n">
        <v>46142</v>
      </c>
      <c r="H138" t="n">
        <v>14</v>
      </c>
      <c r="I138">
        <f>NETWORKDAYS(F138,G138)</f>
        <v/>
      </c>
      <c r="J138">
        <f>IF(H138=I138,"OK","CHECK")</f>
        <v/>
      </c>
    </row>
    <row r="139">
      <c r="A139" t="inlineStr">
        <is>
          <t>OS02464</t>
        </is>
      </c>
      <c r="B139" t="inlineStr">
        <is>
          <t>Q2 2026</t>
        </is>
      </c>
      <c r="C139" t="inlineStr">
        <is>
          <t>PU04</t>
        </is>
      </c>
      <c r="D139" t="inlineStr">
        <is>
          <t>New patient</t>
        </is>
      </c>
      <c r="E139" t="inlineStr">
        <is>
          <t>THERAPY_F</t>
        </is>
      </c>
      <c r="F139" s="10" t="n">
        <v>46125</v>
      </c>
      <c r="G139" s="10" t="n">
        <v>46157</v>
      </c>
      <c r="H139" t="n">
        <v>25</v>
      </c>
      <c r="I139">
        <f>NETWORKDAYS(F139,G139)</f>
        <v/>
      </c>
      <c r="J139">
        <f>IF(H139=I139,"OK","CHECK")</f>
        <v/>
      </c>
    </row>
    <row r="140">
      <c r="A140" t="inlineStr">
        <is>
          <t>OS02466</t>
        </is>
      </c>
      <c r="B140" t="inlineStr">
        <is>
          <t>Q2 2026</t>
        </is>
      </c>
      <c r="C140" t="inlineStr">
        <is>
          <t>PU07</t>
        </is>
      </c>
      <c r="D140" t="inlineStr">
        <is>
          <t>New therapy</t>
        </is>
      </c>
      <c r="E140" t="inlineStr">
        <is>
          <t>THERAPY_E</t>
        </is>
      </c>
      <c r="F140" s="10" t="n">
        <v>46125</v>
      </c>
      <c r="G140" s="10" t="n">
        <v>46143</v>
      </c>
      <c r="H140" t="n">
        <v>15</v>
      </c>
      <c r="I140">
        <f>NETWORKDAYS(F140,G140)</f>
        <v/>
      </c>
      <c r="J140">
        <f>IF(H140=I140,"OK","CHECK")</f>
        <v/>
      </c>
    </row>
    <row r="141">
      <c r="A141" t="inlineStr">
        <is>
          <t>OS02467</t>
        </is>
      </c>
      <c r="B141" t="inlineStr">
        <is>
          <t>Q2 2026</t>
        </is>
      </c>
      <c r="C141" t="inlineStr">
        <is>
          <t>PU99</t>
        </is>
      </c>
      <c r="D141" t="inlineStr">
        <is>
          <t>New patient</t>
        </is>
      </c>
      <c r="E141" t="inlineStr">
        <is>
          <t>THERAPY_D</t>
        </is>
      </c>
      <c r="F141" s="10" t="n">
        <v>46125</v>
      </c>
      <c r="G141" s="10" t="n">
        <v>46148</v>
      </c>
      <c r="H141" t="n">
        <v>18</v>
      </c>
      <c r="I141">
        <f>NETWORKDAYS(F141,G141)</f>
        <v/>
      </c>
      <c r="J141">
        <f>IF(H141=I141,"OK","CHECK")</f>
        <v/>
      </c>
    </row>
    <row r="142">
      <c r="A142" t="inlineStr">
        <is>
          <t>OS02469</t>
        </is>
      </c>
      <c r="B142" t="inlineStr">
        <is>
          <t>Q2 2026</t>
        </is>
      </c>
      <c r="C142" t="inlineStr">
        <is>
          <t>PU10</t>
        </is>
      </c>
      <c r="D142" t="inlineStr">
        <is>
          <t>New patient</t>
        </is>
      </c>
      <c r="E142" t="inlineStr">
        <is>
          <t>THERAPY_B</t>
        </is>
      </c>
      <c r="F142" s="10" t="n">
        <v>46126</v>
      </c>
      <c r="G142" s="10" t="n">
        <v>46147</v>
      </c>
      <c r="H142" t="n">
        <v>16</v>
      </c>
      <c r="I142">
        <f>NETWORKDAYS(F142,G142)</f>
        <v/>
      </c>
      <c r="J142">
        <f>IF(H142=I142,"OK","CHECK")</f>
        <v/>
      </c>
    </row>
    <row r="143">
      <c r="A143" t="inlineStr">
        <is>
          <t>OS02471</t>
        </is>
      </c>
      <c r="B143" t="inlineStr">
        <is>
          <t>Q2 2026</t>
        </is>
      </c>
      <c r="C143" t="inlineStr">
        <is>
          <t>PU03</t>
        </is>
      </c>
      <c r="D143" t="inlineStr">
        <is>
          <t>New patient</t>
        </is>
      </c>
      <c r="E143" t="inlineStr">
        <is>
          <t>THERAPY_I</t>
        </is>
      </c>
      <c r="F143" s="10" t="n">
        <v>46126</v>
      </c>
      <c r="G143" s="10" t="n">
        <v>46163</v>
      </c>
      <c r="H143" t="n">
        <v>28</v>
      </c>
      <c r="I143">
        <f>NETWORKDAYS(F143,G143)</f>
        <v/>
      </c>
      <c r="J143">
        <f>IF(H143=I143,"OK","CHECK")</f>
        <v/>
      </c>
    </row>
    <row r="144">
      <c r="A144" t="inlineStr">
        <is>
          <t>OS02472</t>
        </is>
      </c>
      <c r="B144" t="inlineStr">
        <is>
          <t>Q2 2026</t>
        </is>
      </c>
      <c r="C144" t="inlineStr">
        <is>
          <t>PU99</t>
        </is>
      </c>
      <c r="D144" t="inlineStr">
        <is>
          <t>New patient</t>
        </is>
      </c>
      <c r="E144" t="inlineStr">
        <is>
          <t>THERAPY_E</t>
        </is>
      </c>
      <c r="F144" s="10" t="n">
        <v>46126</v>
      </c>
      <c r="G144" s="10" t="n">
        <v>46142</v>
      </c>
      <c r="H144" t="n">
        <v>13</v>
      </c>
      <c r="I144">
        <f>NETWORKDAYS(F144,G144)</f>
        <v/>
      </c>
      <c r="J144">
        <f>IF(H144=I144,"OK","CHECK")</f>
        <v/>
      </c>
    </row>
    <row r="145">
      <c r="A145" t="inlineStr">
        <is>
          <t>OS02473</t>
        </is>
      </c>
      <c r="B145" t="inlineStr">
        <is>
          <t>Q2 2026</t>
        </is>
      </c>
      <c r="C145" t="inlineStr">
        <is>
          <t>PU03</t>
        </is>
      </c>
      <c r="D145" t="inlineStr">
        <is>
          <t>New patient</t>
        </is>
      </c>
      <c r="E145" t="inlineStr">
        <is>
          <t>THERAPY_A</t>
        </is>
      </c>
      <c r="F145" s="10" t="n">
        <v>46126</v>
      </c>
      <c r="G145" s="10" t="n">
        <v>46164</v>
      </c>
      <c r="H145" t="n">
        <v>29</v>
      </c>
      <c r="I145">
        <f>NETWORKDAYS(F145,G145)</f>
        <v/>
      </c>
      <c r="J145">
        <f>IF(H145=I145,"OK","CHECK")</f>
        <v/>
      </c>
    </row>
    <row r="146">
      <c r="A146" t="inlineStr">
        <is>
          <t>OS02475</t>
        </is>
      </c>
      <c r="B146" t="inlineStr">
        <is>
          <t>Q2 2026</t>
        </is>
      </c>
      <c r="C146" t="inlineStr">
        <is>
          <t>PU01</t>
        </is>
      </c>
      <c r="D146" t="inlineStr">
        <is>
          <t>New patient</t>
        </is>
      </c>
      <c r="E146" t="inlineStr">
        <is>
          <t>THERAPY_E</t>
        </is>
      </c>
      <c r="F146" s="10" t="n">
        <v>46127</v>
      </c>
      <c r="G146" s="10" t="n">
        <v>46150</v>
      </c>
      <c r="H146" t="n">
        <v>18</v>
      </c>
      <c r="I146">
        <f>NETWORKDAYS(F146,G146)</f>
        <v/>
      </c>
      <c r="J146">
        <f>IF(H146=I146,"OK","CHECK")</f>
        <v/>
      </c>
    </row>
    <row r="147">
      <c r="A147" t="inlineStr">
        <is>
          <t>OS02476</t>
        </is>
      </c>
      <c r="B147" t="inlineStr">
        <is>
          <t>Q2 2026</t>
        </is>
      </c>
      <c r="C147" t="inlineStr">
        <is>
          <t>PU01</t>
        </is>
      </c>
      <c r="D147" t="inlineStr">
        <is>
          <t>New patient</t>
        </is>
      </c>
      <c r="E147" t="inlineStr">
        <is>
          <t>THERAPY_D</t>
        </is>
      </c>
      <c r="F147" s="10" t="n">
        <v>46127</v>
      </c>
      <c r="G147" s="10" t="n">
        <v>46156</v>
      </c>
      <c r="H147" t="n">
        <v>22</v>
      </c>
      <c r="I147">
        <f>NETWORKDAYS(F147,G147)</f>
        <v/>
      </c>
      <c r="J147">
        <f>IF(H147=I147,"OK","CHECK")</f>
        <v/>
      </c>
    </row>
    <row r="148">
      <c r="A148" t="inlineStr">
        <is>
          <t>OS02477</t>
        </is>
      </c>
      <c r="B148" t="inlineStr">
        <is>
          <t>Q2 2026</t>
        </is>
      </c>
      <c r="C148" t="inlineStr">
        <is>
          <t>PU99</t>
        </is>
      </c>
      <c r="D148" t="inlineStr">
        <is>
          <t>New therapy</t>
        </is>
      </c>
      <c r="E148" t="inlineStr">
        <is>
          <t>THERAPY_B</t>
        </is>
      </c>
      <c r="F148" s="10" t="n">
        <v>46127</v>
      </c>
      <c r="G148" s="10" t="n">
        <v>46156</v>
      </c>
      <c r="H148" t="n">
        <v>22</v>
      </c>
      <c r="I148">
        <f>NETWORKDAYS(F148,G148)</f>
        <v/>
      </c>
      <c r="J148">
        <f>IF(H148=I148,"OK","CHECK")</f>
        <v/>
      </c>
    </row>
    <row r="149">
      <c r="A149" t="inlineStr">
        <is>
          <t>OS02478</t>
        </is>
      </c>
      <c r="B149" t="inlineStr">
        <is>
          <t>Q2 2026</t>
        </is>
      </c>
      <c r="C149" t="inlineStr">
        <is>
          <t>PU01</t>
        </is>
      </c>
      <c r="D149" t="inlineStr">
        <is>
          <t>New patient</t>
        </is>
      </c>
      <c r="E149" t="inlineStr">
        <is>
          <t>THERAPY_E</t>
        </is>
      </c>
      <c r="F149" s="10" t="n">
        <v>46127</v>
      </c>
      <c r="G149" s="10" t="n">
        <v>46162</v>
      </c>
      <c r="H149" t="n">
        <v>26</v>
      </c>
      <c r="I149">
        <f>NETWORKDAYS(F149,G149)</f>
        <v/>
      </c>
      <c r="J149">
        <f>IF(H149=I149,"OK","CHECK")</f>
        <v/>
      </c>
    </row>
    <row r="150">
      <c r="A150" t="inlineStr">
        <is>
          <t>OS02479</t>
        </is>
      </c>
      <c r="B150" t="inlineStr">
        <is>
          <t>Q2 2026</t>
        </is>
      </c>
      <c r="C150" t="inlineStr">
        <is>
          <t>PU04</t>
        </is>
      </c>
      <c r="D150" t="inlineStr">
        <is>
          <t>New patient</t>
        </is>
      </c>
      <c r="E150" t="inlineStr">
        <is>
          <t>THERAPY_E</t>
        </is>
      </c>
      <c r="F150" s="10" t="n">
        <v>46127</v>
      </c>
      <c r="G150" s="10" t="n">
        <v>46155</v>
      </c>
      <c r="H150" t="n">
        <v>21</v>
      </c>
      <c r="I150">
        <f>NETWORKDAYS(F150,G150)</f>
        <v/>
      </c>
      <c r="J150">
        <f>IF(H150=I150,"OK","CHECK")</f>
        <v/>
      </c>
    </row>
    <row r="151">
      <c r="A151" t="inlineStr">
        <is>
          <t>OS02480</t>
        </is>
      </c>
      <c r="B151" t="inlineStr">
        <is>
          <t>Q2 2026</t>
        </is>
      </c>
      <c r="C151" t="inlineStr">
        <is>
          <t>PU07</t>
        </is>
      </c>
      <c r="D151" t="inlineStr">
        <is>
          <t>New therapy</t>
        </is>
      </c>
      <c r="E151" t="inlineStr">
        <is>
          <t>THERAPY_J</t>
        </is>
      </c>
      <c r="F151" s="10" t="n">
        <v>46127</v>
      </c>
      <c r="G151" s="10" t="n">
        <v>46182</v>
      </c>
      <c r="H151" t="n">
        <v>40</v>
      </c>
      <c r="I151">
        <f>NETWORKDAYS(F151,G151)</f>
        <v/>
      </c>
      <c r="J151">
        <f>IF(H151=I151,"OK","CHECK")</f>
        <v/>
      </c>
    </row>
    <row r="152">
      <c r="A152" t="inlineStr">
        <is>
          <t>OS02481</t>
        </is>
      </c>
      <c r="B152" t="inlineStr">
        <is>
          <t>Q2 2026</t>
        </is>
      </c>
      <c r="C152" t="inlineStr">
        <is>
          <t>PU01</t>
        </is>
      </c>
      <c r="D152" t="inlineStr">
        <is>
          <t>New patient</t>
        </is>
      </c>
      <c r="E152" t="inlineStr">
        <is>
          <t>THERAPY_D</t>
        </is>
      </c>
      <c r="F152" s="10" t="n">
        <v>46127</v>
      </c>
      <c r="G152" s="10" t="n">
        <v>46149</v>
      </c>
      <c r="H152" t="n">
        <v>17</v>
      </c>
      <c r="I152">
        <f>NETWORKDAYS(F152,G152)</f>
        <v/>
      </c>
      <c r="J152">
        <f>IF(H152=I152,"OK","CHECK")</f>
        <v/>
      </c>
    </row>
    <row r="153">
      <c r="A153" t="inlineStr">
        <is>
          <t>OS02483</t>
        </is>
      </c>
      <c r="B153" t="inlineStr">
        <is>
          <t>Q2 2026</t>
        </is>
      </c>
      <c r="C153" t="inlineStr">
        <is>
          <t>PU04</t>
        </is>
      </c>
      <c r="D153" t="inlineStr">
        <is>
          <t>New patient</t>
        </is>
      </c>
      <c r="E153" t="inlineStr">
        <is>
          <t>THERAPY_D</t>
        </is>
      </c>
      <c r="F153" s="10" t="n">
        <v>46128</v>
      </c>
      <c r="G153" s="10" t="n">
        <v>46162</v>
      </c>
      <c r="H153" t="n">
        <v>25</v>
      </c>
      <c r="I153">
        <f>NETWORKDAYS(F153,G153)</f>
        <v/>
      </c>
      <c r="J153">
        <f>IF(H153=I153,"OK","CHECK")</f>
        <v/>
      </c>
    </row>
    <row r="154">
      <c r="A154" t="inlineStr">
        <is>
          <t>OS02484</t>
        </is>
      </c>
      <c r="B154" t="inlineStr">
        <is>
          <t>Q2 2026</t>
        </is>
      </c>
      <c r="C154" t="inlineStr">
        <is>
          <t>PU08</t>
        </is>
      </c>
      <c r="D154" t="inlineStr">
        <is>
          <t>New patient</t>
        </is>
      </c>
      <c r="E154" t="inlineStr">
        <is>
          <t>THERAPY_F</t>
        </is>
      </c>
      <c r="F154" s="10" t="n">
        <v>46128</v>
      </c>
      <c r="G154" s="10" t="n">
        <v>46185</v>
      </c>
      <c r="H154" t="n">
        <v>42</v>
      </c>
      <c r="I154">
        <f>NETWORKDAYS(F154,G154)</f>
        <v/>
      </c>
      <c r="J154">
        <f>IF(H154=I154,"OK","CHECK")</f>
        <v/>
      </c>
    </row>
    <row r="155">
      <c r="A155" t="inlineStr">
        <is>
          <t>OS02489</t>
        </is>
      </c>
      <c r="B155" t="inlineStr">
        <is>
          <t>Q2 2026</t>
        </is>
      </c>
      <c r="C155" t="inlineStr">
        <is>
          <t>PU01</t>
        </is>
      </c>
      <c r="D155" t="inlineStr">
        <is>
          <t>New patient</t>
        </is>
      </c>
      <c r="E155" t="inlineStr">
        <is>
          <t>THERAPY_H</t>
        </is>
      </c>
      <c r="F155" s="10" t="n">
        <v>46128</v>
      </c>
      <c r="G155" s="10" t="n">
        <v>46147</v>
      </c>
      <c r="H155" t="n">
        <v>14</v>
      </c>
      <c r="I155">
        <f>NETWORKDAYS(F155,G155)</f>
        <v/>
      </c>
      <c r="J155">
        <f>IF(H155=I155,"OK","CHECK")</f>
        <v/>
      </c>
    </row>
    <row r="156">
      <c r="A156" t="inlineStr">
        <is>
          <t>OS02492</t>
        </is>
      </c>
      <c r="B156" t="inlineStr">
        <is>
          <t>Q2 2026</t>
        </is>
      </c>
      <c r="C156" t="inlineStr">
        <is>
          <t>PU99</t>
        </is>
      </c>
      <c r="D156" t="inlineStr">
        <is>
          <t>New patient</t>
        </is>
      </c>
      <c r="E156" t="inlineStr">
        <is>
          <t>THERAPY_G</t>
        </is>
      </c>
      <c r="F156" s="10" t="n">
        <v>46129</v>
      </c>
      <c r="G156" s="10" t="n">
        <v>46174</v>
      </c>
      <c r="H156" t="n">
        <v>32</v>
      </c>
      <c r="I156">
        <f>NETWORKDAYS(F156,G156)</f>
        <v/>
      </c>
      <c r="J156">
        <f>IF(H156=I156,"OK","CHECK")</f>
        <v/>
      </c>
    </row>
    <row r="157">
      <c r="A157" t="inlineStr">
        <is>
          <t>OS02493</t>
        </is>
      </c>
      <c r="B157" t="inlineStr">
        <is>
          <t>Q2 2026</t>
        </is>
      </c>
      <c r="C157" t="inlineStr">
        <is>
          <t>PU02</t>
        </is>
      </c>
      <c r="D157" t="inlineStr">
        <is>
          <t>New patient</t>
        </is>
      </c>
      <c r="E157" t="inlineStr">
        <is>
          <t>THERAPY_I</t>
        </is>
      </c>
      <c r="F157" s="10" t="n">
        <v>46129</v>
      </c>
      <c r="G157" s="10" t="n">
        <v>46163</v>
      </c>
      <c r="H157" t="n">
        <v>25</v>
      </c>
      <c r="I157">
        <f>NETWORKDAYS(F157,G157)</f>
        <v/>
      </c>
      <c r="J157">
        <f>IF(H157=I157,"OK","CHECK")</f>
        <v/>
      </c>
    </row>
    <row r="158">
      <c r="A158" t="inlineStr">
        <is>
          <t>OS02495</t>
        </is>
      </c>
      <c r="B158" t="inlineStr">
        <is>
          <t>Q2 2026</t>
        </is>
      </c>
      <c r="C158" t="inlineStr">
        <is>
          <t>PU99</t>
        </is>
      </c>
      <c r="D158" t="inlineStr">
        <is>
          <t>New patient</t>
        </is>
      </c>
      <c r="E158" t="inlineStr">
        <is>
          <t>THERAPY_B</t>
        </is>
      </c>
      <c r="F158" s="10" t="n">
        <v>46129</v>
      </c>
      <c r="G158" s="10" t="n">
        <v>46163</v>
      </c>
      <c r="H158" t="n">
        <v>25</v>
      </c>
      <c r="I158">
        <f>NETWORKDAYS(F158,G158)</f>
        <v/>
      </c>
      <c r="J158">
        <f>IF(H158=I158,"OK","CHECK")</f>
        <v/>
      </c>
    </row>
    <row r="159">
      <c r="A159" t="inlineStr">
        <is>
          <t>OS02496</t>
        </is>
      </c>
      <c r="B159" t="inlineStr">
        <is>
          <t>Q2 2026</t>
        </is>
      </c>
      <c r="C159" t="inlineStr">
        <is>
          <t>PU08</t>
        </is>
      </c>
      <c r="D159" t="inlineStr">
        <is>
          <t>New patient</t>
        </is>
      </c>
      <c r="E159" t="inlineStr">
        <is>
          <t>THERAPY_I</t>
        </is>
      </c>
      <c r="F159" s="10" t="n">
        <v>46129</v>
      </c>
      <c r="G159" s="10" t="n">
        <v>46169</v>
      </c>
      <c r="H159" t="n">
        <v>29</v>
      </c>
      <c r="I159">
        <f>NETWORKDAYS(F159,G159)</f>
        <v/>
      </c>
      <c r="J159">
        <f>IF(H159=I159,"OK","CHECK")</f>
        <v/>
      </c>
    </row>
    <row r="160">
      <c r="A160" t="inlineStr">
        <is>
          <t>OS02498</t>
        </is>
      </c>
      <c r="B160" t="inlineStr">
        <is>
          <t>Q2 2026</t>
        </is>
      </c>
      <c r="C160" t="inlineStr">
        <is>
          <t>PU01</t>
        </is>
      </c>
      <c r="D160" t="inlineStr">
        <is>
          <t>New patient</t>
        </is>
      </c>
      <c r="E160" t="inlineStr">
        <is>
          <t>THERAPY_C</t>
        </is>
      </c>
      <c r="F160" s="10" t="n">
        <v>46129</v>
      </c>
      <c r="G160" s="10" t="n">
        <v>46164</v>
      </c>
      <c r="H160" t="n">
        <v>26</v>
      </c>
      <c r="I160">
        <f>NETWORKDAYS(F160,G160)</f>
        <v/>
      </c>
      <c r="J160">
        <f>IF(H160=I160,"OK","CHECK")</f>
        <v/>
      </c>
    </row>
    <row r="161">
      <c r="A161" t="inlineStr">
        <is>
          <t>OS02499</t>
        </is>
      </c>
      <c r="B161" t="inlineStr">
        <is>
          <t>Q2 2026</t>
        </is>
      </c>
      <c r="C161" t="inlineStr">
        <is>
          <t>PU02</t>
        </is>
      </c>
      <c r="D161" t="inlineStr">
        <is>
          <t>New patient</t>
        </is>
      </c>
      <c r="E161" t="inlineStr">
        <is>
          <t>THERAPY_H</t>
        </is>
      </c>
      <c r="F161" s="10" t="n">
        <v>46129</v>
      </c>
      <c r="G161" s="10" t="n">
        <v>46198</v>
      </c>
      <c r="H161" t="n">
        <v>50</v>
      </c>
      <c r="I161">
        <f>NETWORKDAYS(F161,G161)</f>
        <v/>
      </c>
      <c r="J161">
        <f>IF(H161=I161,"OK","CHECK")</f>
        <v/>
      </c>
    </row>
    <row r="162">
      <c r="A162" t="inlineStr">
        <is>
          <t>OS02503</t>
        </is>
      </c>
      <c r="B162" t="inlineStr">
        <is>
          <t>Q2 2026</t>
        </is>
      </c>
      <c r="C162" t="inlineStr">
        <is>
          <t>PU01</t>
        </is>
      </c>
      <c r="D162" t="inlineStr">
        <is>
          <t>New patient</t>
        </is>
      </c>
      <c r="E162" t="inlineStr">
        <is>
          <t>THERAPY_B</t>
        </is>
      </c>
      <c r="F162" s="10" t="n">
        <v>46132</v>
      </c>
      <c r="G162" s="10" t="n">
        <v>46140</v>
      </c>
      <c r="H162" t="n">
        <v>7</v>
      </c>
      <c r="I162">
        <f>NETWORKDAYS(F162,G162)</f>
        <v/>
      </c>
      <c r="J162">
        <f>IF(H162=I162,"OK","CHECK")</f>
        <v/>
      </c>
    </row>
    <row r="163">
      <c r="A163" t="inlineStr">
        <is>
          <t>OS02507</t>
        </is>
      </c>
      <c r="B163" t="inlineStr">
        <is>
          <t>Q2 2026</t>
        </is>
      </c>
      <c r="C163" t="inlineStr">
        <is>
          <t>PU06</t>
        </is>
      </c>
      <c r="D163" t="inlineStr">
        <is>
          <t>New patient</t>
        </is>
      </c>
      <c r="E163" t="inlineStr">
        <is>
          <t>THERAPY_F</t>
        </is>
      </c>
      <c r="F163" s="10" t="n">
        <v>46132</v>
      </c>
      <c r="G163" s="10" t="n">
        <v>46154</v>
      </c>
      <c r="H163" t="n">
        <v>17</v>
      </c>
      <c r="I163">
        <f>NETWORKDAYS(F163,G163)</f>
        <v/>
      </c>
      <c r="J163">
        <f>IF(H163=I163,"OK","CHECK")</f>
        <v/>
      </c>
    </row>
    <row r="164">
      <c r="A164" t="inlineStr">
        <is>
          <t>OS02508</t>
        </is>
      </c>
      <c r="B164" t="inlineStr">
        <is>
          <t>Q2 2026</t>
        </is>
      </c>
      <c r="C164" t="inlineStr">
        <is>
          <t>PU03</t>
        </is>
      </c>
      <c r="D164" t="inlineStr">
        <is>
          <t>New patient</t>
        </is>
      </c>
      <c r="E164" t="inlineStr">
        <is>
          <t>THERAPY_C</t>
        </is>
      </c>
      <c r="F164" s="10" t="n">
        <v>46132</v>
      </c>
      <c r="G164" s="10" t="n">
        <v>46156</v>
      </c>
      <c r="H164" t="n">
        <v>19</v>
      </c>
      <c r="I164">
        <f>NETWORKDAYS(F164,G164)</f>
        <v/>
      </c>
      <c r="J164">
        <f>IF(H164=I164,"OK","CHECK")</f>
        <v/>
      </c>
    </row>
    <row r="165">
      <c r="A165" t="inlineStr">
        <is>
          <t>OS02509</t>
        </is>
      </c>
      <c r="B165" t="inlineStr">
        <is>
          <t>Q2 2026</t>
        </is>
      </c>
      <c r="C165" t="inlineStr">
        <is>
          <t>PU03</t>
        </is>
      </c>
      <c r="D165" t="inlineStr">
        <is>
          <t>New patient</t>
        </is>
      </c>
      <c r="E165" t="inlineStr">
        <is>
          <t>THERAPY_E</t>
        </is>
      </c>
      <c r="F165" s="10" t="n">
        <v>46132</v>
      </c>
      <c r="G165" s="10" t="n">
        <v>46156</v>
      </c>
      <c r="H165" t="n">
        <v>19</v>
      </c>
      <c r="I165">
        <f>NETWORKDAYS(F165,G165)</f>
        <v/>
      </c>
      <c r="J165">
        <f>IF(H165=I165,"OK","CHECK")</f>
        <v/>
      </c>
    </row>
    <row r="166">
      <c r="A166" t="inlineStr">
        <is>
          <t>OS02510</t>
        </is>
      </c>
      <c r="B166" t="inlineStr">
        <is>
          <t>Q2 2026</t>
        </is>
      </c>
      <c r="C166" t="inlineStr">
        <is>
          <t>PU07</t>
        </is>
      </c>
      <c r="D166" t="inlineStr">
        <is>
          <t>New patient</t>
        </is>
      </c>
      <c r="E166" t="inlineStr">
        <is>
          <t>THERAPY_G</t>
        </is>
      </c>
      <c r="F166" s="10" t="n">
        <v>46132</v>
      </c>
      <c r="G166" s="10" t="n">
        <v>46157</v>
      </c>
      <c r="H166" t="n">
        <v>20</v>
      </c>
      <c r="I166">
        <f>NETWORKDAYS(F166,G166)</f>
        <v/>
      </c>
      <c r="J166">
        <f>IF(H166=I166,"OK","CHECK")</f>
        <v/>
      </c>
    </row>
    <row r="167">
      <c r="A167" t="inlineStr">
        <is>
          <t>OS02513</t>
        </is>
      </c>
      <c r="B167" t="inlineStr">
        <is>
          <t>Q2 2026</t>
        </is>
      </c>
      <c r="C167" t="inlineStr">
        <is>
          <t>PU10</t>
        </is>
      </c>
      <c r="D167" t="inlineStr">
        <is>
          <t>New patient</t>
        </is>
      </c>
      <c r="E167" t="inlineStr">
        <is>
          <t>THERAPY_G</t>
        </is>
      </c>
      <c r="F167" s="10" t="n">
        <v>46132</v>
      </c>
      <c r="G167" s="10" t="n">
        <v>46146</v>
      </c>
      <c r="H167" t="n">
        <v>11</v>
      </c>
      <c r="I167">
        <f>NETWORKDAYS(F167,G167)</f>
        <v/>
      </c>
      <c r="J167">
        <f>IF(H167=I167,"OK","CHECK")</f>
        <v/>
      </c>
    </row>
    <row r="168">
      <c r="A168" t="inlineStr">
        <is>
          <t>OS02514</t>
        </is>
      </c>
      <c r="B168" t="inlineStr">
        <is>
          <t>Q2 2026</t>
        </is>
      </c>
      <c r="C168" t="inlineStr">
        <is>
          <t>PU07</t>
        </is>
      </c>
      <c r="D168" t="inlineStr">
        <is>
          <t>New patient</t>
        </is>
      </c>
      <c r="E168" t="inlineStr">
        <is>
          <t>THERAPY_H</t>
        </is>
      </c>
      <c r="F168" s="10" t="n">
        <v>46132</v>
      </c>
      <c r="G168" s="10" t="n">
        <v>46177</v>
      </c>
      <c r="H168" t="n">
        <v>34</v>
      </c>
      <c r="I168">
        <f>NETWORKDAYS(F168,G168)</f>
        <v/>
      </c>
      <c r="J168">
        <f>IF(H168=I168,"OK","CHECK")</f>
        <v/>
      </c>
    </row>
    <row r="169">
      <c r="A169" t="inlineStr">
        <is>
          <t>OS02515</t>
        </is>
      </c>
      <c r="B169" t="inlineStr">
        <is>
          <t>Q2 2026</t>
        </is>
      </c>
      <c r="C169" t="inlineStr">
        <is>
          <t>PU01</t>
        </is>
      </c>
      <c r="D169" t="inlineStr">
        <is>
          <t>New patient</t>
        </is>
      </c>
      <c r="E169" t="inlineStr">
        <is>
          <t>THERAPY_F</t>
        </is>
      </c>
      <c r="F169" s="10" t="n">
        <v>46133</v>
      </c>
      <c r="G169" s="10" t="n">
        <v>46160</v>
      </c>
      <c r="H169" t="n">
        <v>20</v>
      </c>
      <c r="I169">
        <f>NETWORKDAYS(F169,G169)</f>
        <v/>
      </c>
      <c r="J169">
        <f>IF(H169=I169,"OK","CHECK")</f>
        <v/>
      </c>
    </row>
    <row r="170">
      <c r="A170" t="inlineStr">
        <is>
          <t>OS02516</t>
        </is>
      </c>
      <c r="B170" t="inlineStr">
        <is>
          <t>Q2 2026</t>
        </is>
      </c>
      <c r="C170" t="inlineStr">
        <is>
          <t>PU04</t>
        </is>
      </c>
      <c r="D170" t="inlineStr">
        <is>
          <t>New patient</t>
        </is>
      </c>
      <c r="E170" t="inlineStr">
        <is>
          <t>THERAPY_J</t>
        </is>
      </c>
      <c r="F170" s="10" t="n">
        <v>46133</v>
      </c>
      <c r="G170" s="10" t="n">
        <v>46184</v>
      </c>
      <c r="H170" t="n">
        <v>38</v>
      </c>
      <c r="I170">
        <f>NETWORKDAYS(F170,G170)</f>
        <v/>
      </c>
      <c r="J170">
        <f>IF(H170=I170,"OK","CHECK")</f>
        <v/>
      </c>
    </row>
    <row r="171">
      <c r="A171" t="inlineStr">
        <is>
          <t>OS02518</t>
        </is>
      </c>
      <c r="B171" t="inlineStr">
        <is>
          <t>Q2 2026</t>
        </is>
      </c>
      <c r="C171" t="inlineStr">
        <is>
          <t>PU05</t>
        </is>
      </c>
      <c r="D171" t="inlineStr">
        <is>
          <t>New patient</t>
        </is>
      </c>
      <c r="E171" t="inlineStr">
        <is>
          <t>THERAPY_H</t>
        </is>
      </c>
      <c r="F171" s="10" t="n">
        <v>46133</v>
      </c>
      <c r="G171" s="10" t="n">
        <v>46155</v>
      </c>
      <c r="H171" t="n">
        <v>17</v>
      </c>
      <c r="I171">
        <f>NETWORKDAYS(F171,G171)</f>
        <v/>
      </c>
      <c r="J171">
        <f>IF(H171=I171,"OK","CHECK")</f>
        <v/>
      </c>
    </row>
    <row r="172">
      <c r="A172" t="inlineStr">
        <is>
          <t>OS02521</t>
        </is>
      </c>
      <c r="B172" t="inlineStr">
        <is>
          <t>Q2 2026</t>
        </is>
      </c>
      <c r="C172" t="inlineStr">
        <is>
          <t>PU01</t>
        </is>
      </c>
      <c r="D172" t="inlineStr">
        <is>
          <t>New patient</t>
        </is>
      </c>
      <c r="E172" t="inlineStr">
        <is>
          <t>THERAPY_C</t>
        </is>
      </c>
      <c r="F172" s="10" t="n">
        <v>46133</v>
      </c>
      <c r="G172" s="10" t="n">
        <v>46178</v>
      </c>
      <c r="H172" t="n">
        <v>34</v>
      </c>
      <c r="I172">
        <f>NETWORKDAYS(F172,G172)</f>
        <v/>
      </c>
      <c r="J172">
        <f>IF(H172=I172,"OK","CHECK")</f>
        <v/>
      </c>
    </row>
    <row r="173">
      <c r="A173" t="inlineStr">
        <is>
          <t>OS02526</t>
        </is>
      </c>
      <c r="B173" t="inlineStr">
        <is>
          <t>Q2 2026</t>
        </is>
      </c>
      <c r="C173" t="inlineStr">
        <is>
          <t>PU08</t>
        </is>
      </c>
      <c r="D173" t="inlineStr">
        <is>
          <t>New patient</t>
        </is>
      </c>
      <c r="E173" t="inlineStr">
        <is>
          <t>THERAPY_D</t>
        </is>
      </c>
      <c r="F173" s="10" t="n">
        <v>46134</v>
      </c>
      <c r="G173" s="10" t="n">
        <v>46171</v>
      </c>
      <c r="H173" t="n">
        <v>28</v>
      </c>
      <c r="I173">
        <f>NETWORKDAYS(F173,G173)</f>
        <v/>
      </c>
      <c r="J173">
        <f>IF(H173=I173,"OK","CHECK")</f>
        <v/>
      </c>
    </row>
    <row r="174">
      <c r="A174" t="inlineStr">
        <is>
          <t>OS02527</t>
        </is>
      </c>
      <c r="B174" t="inlineStr">
        <is>
          <t>Q2 2026</t>
        </is>
      </c>
      <c r="C174" t="inlineStr">
        <is>
          <t>PU03</t>
        </is>
      </c>
      <c r="D174" t="inlineStr">
        <is>
          <t>New patient</t>
        </is>
      </c>
      <c r="E174" t="inlineStr">
        <is>
          <t>THERAPY_E</t>
        </is>
      </c>
      <c r="F174" s="10" t="n">
        <v>46134</v>
      </c>
      <c r="G174" s="10" t="n">
        <v>46155</v>
      </c>
      <c r="H174" t="n">
        <v>16</v>
      </c>
      <c r="I174">
        <f>NETWORKDAYS(F174,G174)</f>
        <v/>
      </c>
      <c r="J174">
        <f>IF(H174=I174,"OK","CHECK")</f>
        <v/>
      </c>
    </row>
    <row r="175">
      <c r="A175" t="inlineStr">
        <is>
          <t>OS02530</t>
        </is>
      </c>
      <c r="B175" t="inlineStr">
        <is>
          <t>Q2 2026</t>
        </is>
      </c>
      <c r="C175" t="inlineStr">
        <is>
          <t>PU07</t>
        </is>
      </c>
      <c r="D175" t="inlineStr">
        <is>
          <t>New patient</t>
        </is>
      </c>
      <c r="E175" t="inlineStr">
        <is>
          <t>THERAPY_H</t>
        </is>
      </c>
      <c r="F175" s="10" t="n">
        <v>46134</v>
      </c>
      <c r="G175" s="10" t="n">
        <v>46160</v>
      </c>
      <c r="H175" t="n">
        <v>19</v>
      </c>
      <c r="I175">
        <f>NETWORKDAYS(F175,G175)</f>
        <v/>
      </c>
      <c r="J175">
        <f>IF(H175=I175,"OK","CHECK")</f>
        <v/>
      </c>
    </row>
    <row r="176">
      <c r="A176" t="inlineStr">
        <is>
          <t>OS02531</t>
        </is>
      </c>
      <c r="B176" t="inlineStr">
        <is>
          <t>Q2 2026</t>
        </is>
      </c>
      <c r="C176" t="inlineStr">
        <is>
          <t>PU05</t>
        </is>
      </c>
      <c r="D176" t="inlineStr">
        <is>
          <t>New patient</t>
        </is>
      </c>
      <c r="E176" t="inlineStr">
        <is>
          <t>THERAPY_H</t>
        </is>
      </c>
      <c r="F176" s="10" t="n">
        <v>46134</v>
      </c>
      <c r="G176" s="10" t="n">
        <v>46155</v>
      </c>
      <c r="H176" t="n">
        <v>16</v>
      </c>
      <c r="I176">
        <f>NETWORKDAYS(F176,G176)</f>
        <v/>
      </c>
      <c r="J176">
        <f>IF(H176=I176,"OK","CHECK")</f>
        <v/>
      </c>
    </row>
    <row r="177">
      <c r="A177" t="inlineStr">
        <is>
          <t>OS02534</t>
        </is>
      </c>
      <c r="B177" t="inlineStr">
        <is>
          <t>Q2 2026</t>
        </is>
      </c>
      <c r="C177" t="inlineStr">
        <is>
          <t>PU01</t>
        </is>
      </c>
      <c r="D177" t="inlineStr">
        <is>
          <t>New patient</t>
        </is>
      </c>
      <c r="E177" t="inlineStr">
        <is>
          <t>THERAPY_G</t>
        </is>
      </c>
      <c r="F177" s="10" t="n">
        <v>46135</v>
      </c>
      <c r="G177" s="10" t="n">
        <v>46153</v>
      </c>
      <c r="H177" t="n">
        <v>13</v>
      </c>
      <c r="I177">
        <f>NETWORKDAYS(F177,G177)</f>
        <v/>
      </c>
      <c r="J177">
        <f>IF(H177=I177,"OK","CHECK")</f>
        <v/>
      </c>
    </row>
    <row r="178">
      <c r="A178" t="inlineStr">
        <is>
          <t>OS02536</t>
        </is>
      </c>
      <c r="B178" t="inlineStr">
        <is>
          <t>Q2 2026</t>
        </is>
      </c>
      <c r="C178" t="inlineStr">
        <is>
          <t>PU01</t>
        </is>
      </c>
      <c r="D178" t="inlineStr">
        <is>
          <t>New patient</t>
        </is>
      </c>
      <c r="E178" t="inlineStr">
        <is>
          <t>THERAPY_E</t>
        </is>
      </c>
      <c r="F178" s="10" t="n">
        <v>46135</v>
      </c>
      <c r="G178" s="10" t="n">
        <v>46177</v>
      </c>
      <c r="H178" t="n">
        <v>31</v>
      </c>
      <c r="I178">
        <f>NETWORKDAYS(F178,G178)</f>
        <v/>
      </c>
      <c r="J178">
        <f>IF(H178=I178,"OK","CHECK")</f>
        <v/>
      </c>
    </row>
    <row r="179">
      <c r="A179" t="inlineStr">
        <is>
          <t>OS02538</t>
        </is>
      </c>
      <c r="B179" t="inlineStr">
        <is>
          <t>Q2 2026</t>
        </is>
      </c>
      <c r="C179" t="inlineStr">
        <is>
          <t>PU03</t>
        </is>
      </c>
      <c r="D179" t="inlineStr">
        <is>
          <t>New patient</t>
        </is>
      </c>
      <c r="E179" t="inlineStr">
        <is>
          <t>THERAPY_J</t>
        </is>
      </c>
      <c r="F179" s="10" t="n">
        <v>46135</v>
      </c>
      <c r="G179" s="10" t="n">
        <v>46163</v>
      </c>
      <c r="H179" t="n">
        <v>21</v>
      </c>
      <c r="I179">
        <f>NETWORKDAYS(F179,G179)</f>
        <v/>
      </c>
      <c r="J179">
        <f>IF(H179=I179,"OK","CHECK")</f>
        <v/>
      </c>
    </row>
    <row r="180">
      <c r="A180" t="inlineStr">
        <is>
          <t>OS02540</t>
        </is>
      </c>
      <c r="B180" t="inlineStr">
        <is>
          <t>Q2 2026</t>
        </is>
      </c>
      <c r="C180" t="inlineStr">
        <is>
          <t>PU01</t>
        </is>
      </c>
      <c r="D180" t="inlineStr">
        <is>
          <t>New patient</t>
        </is>
      </c>
      <c r="E180" t="inlineStr">
        <is>
          <t>THERAPY_E</t>
        </is>
      </c>
      <c r="F180" s="10" t="n">
        <v>46135</v>
      </c>
      <c r="G180" s="10" t="n">
        <v>46168</v>
      </c>
      <c r="H180" t="n">
        <v>24</v>
      </c>
      <c r="I180">
        <f>NETWORKDAYS(F180,G180)</f>
        <v/>
      </c>
      <c r="J180">
        <f>IF(H180=I180,"OK","CHECK")</f>
        <v/>
      </c>
    </row>
    <row r="181">
      <c r="A181" t="inlineStr">
        <is>
          <t>OS02541</t>
        </is>
      </c>
      <c r="B181" t="inlineStr">
        <is>
          <t>Q2 2026</t>
        </is>
      </c>
      <c r="C181" t="inlineStr">
        <is>
          <t>PU10</t>
        </is>
      </c>
      <c r="D181" t="inlineStr">
        <is>
          <t>New patient</t>
        </is>
      </c>
      <c r="E181" t="inlineStr">
        <is>
          <t>THERAPY_G</t>
        </is>
      </c>
      <c r="F181" s="10" t="n">
        <v>46136</v>
      </c>
      <c r="G181" s="10" t="n">
        <v>46161</v>
      </c>
      <c r="H181" t="n">
        <v>18</v>
      </c>
      <c r="I181">
        <f>NETWORKDAYS(F181,G181)</f>
        <v/>
      </c>
      <c r="J181">
        <f>IF(H181=I181,"OK","CHECK")</f>
        <v/>
      </c>
    </row>
    <row r="182">
      <c r="A182" t="inlineStr">
        <is>
          <t>OS02542</t>
        </is>
      </c>
      <c r="B182" t="inlineStr">
        <is>
          <t>Q2 2026</t>
        </is>
      </c>
      <c r="C182" t="inlineStr">
        <is>
          <t>PU01</t>
        </is>
      </c>
      <c r="D182" t="inlineStr">
        <is>
          <t>New patient</t>
        </is>
      </c>
      <c r="E182" t="inlineStr">
        <is>
          <t>THERAPY_C</t>
        </is>
      </c>
      <c r="F182" s="10" t="n">
        <v>46136</v>
      </c>
      <c r="G182" s="10" t="n">
        <v>46153</v>
      </c>
      <c r="H182" t="n">
        <v>12</v>
      </c>
      <c r="I182">
        <f>NETWORKDAYS(F182,G182)</f>
        <v/>
      </c>
      <c r="J182">
        <f>IF(H182=I182,"OK","CHECK")</f>
        <v/>
      </c>
    </row>
    <row r="183">
      <c r="A183" t="inlineStr">
        <is>
          <t>OS02543</t>
        </is>
      </c>
      <c r="B183" t="inlineStr">
        <is>
          <t>Q2 2026</t>
        </is>
      </c>
      <c r="C183" t="inlineStr">
        <is>
          <t>PU99</t>
        </is>
      </c>
      <c r="D183" t="inlineStr">
        <is>
          <t>New patient</t>
        </is>
      </c>
      <c r="E183" t="inlineStr">
        <is>
          <t>THERAPY_G</t>
        </is>
      </c>
      <c r="F183" s="10" t="n">
        <v>46139</v>
      </c>
      <c r="G183" s="10" t="n">
        <v>46157</v>
      </c>
      <c r="H183" t="n">
        <v>15</v>
      </c>
      <c r="I183">
        <f>NETWORKDAYS(F183,G183)</f>
        <v/>
      </c>
      <c r="J183">
        <f>IF(H183=I183,"OK","CHECK")</f>
        <v/>
      </c>
    </row>
    <row r="184">
      <c r="A184" t="inlineStr">
        <is>
          <t>OS02548</t>
        </is>
      </c>
      <c r="B184" t="inlineStr">
        <is>
          <t>Q2 2026</t>
        </is>
      </c>
      <c r="C184" t="inlineStr">
        <is>
          <t>PU04</t>
        </is>
      </c>
      <c r="D184" t="inlineStr">
        <is>
          <t>New patient</t>
        </is>
      </c>
      <c r="E184" t="inlineStr">
        <is>
          <t>THERAPY_H</t>
        </is>
      </c>
      <c r="F184" s="10" t="n">
        <v>46139</v>
      </c>
      <c r="G184" s="10" t="n">
        <v>46170</v>
      </c>
      <c r="H184" t="n">
        <v>24</v>
      </c>
      <c r="I184">
        <f>NETWORKDAYS(F184,G184)</f>
        <v/>
      </c>
      <c r="J184">
        <f>IF(H184=I184,"OK","CHECK")</f>
        <v/>
      </c>
    </row>
    <row r="185">
      <c r="A185" t="inlineStr">
        <is>
          <t>OS02552</t>
        </is>
      </c>
      <c r="B185" t="inlineStr">
        <is>
          <t>Q2 2026</t>
        </is>
      </c>
      <c r="C185" t="inlineStr">
        <is>
          <t>PU10</t>
        </is>
      </c>
      <c r="D185" t="inlineStr">
        <is>
          <t>New patient</t>
        </is>
      </c>
      <c r="E185" t="inlineStr">
        <is>
          <t>THERAPY_H</t>
        </is>
      </c>
      <c r="F185" s="10" t="n">
        <v>46140</v>
      </c>
      <c r="G185" s="10" t="n">
        <v>46162</v>
      </c>
      <c r="H185" t="n">
        <v>17</v>
      </c>
      <c r="I185">
        <f>NETWORKDAYS(F185,G185)</f>
        <v/>
      </c>
      <c r="J185">
        <f>IF(H185=I185,"OK","CHECK")</f>
        <v/>
      </c>
    </row>
    <row r="186">
      <c r="A186" t="inlineStr">
        <is>
          <t>OS02553</t>
        </is>
      </c>
      <c r="B186" t="inlineStr">
        <is>
          <t>Q2 2026</t>
        </is>
      </c>
      <c r="C186" t="inlineStr">
        <is>
          <t>PU07</t>
        </is>
      </c>
      <c r="D186" t="inlineStr">
        <is>
          <t>New patient</t>
        </is>
      </c>
      <c r="E186" t="inlineStr">
        <is>
          <t>THERAPY_I</t>
        </is>
      </c>
      <c r="F186" s="10" t="n">
        <v>46140</v>
      </c>
      <c r="G186" s="10" t="n">
        <v>46185</v>
      </c>
      <c r="H186" t="n">
        <v>34</v>
      </c>
      <c r="I186">
        <f>NETWORKDAYS(F186,G186)</f>
        <v/>
      </c>
      <c r="J186">
        <f>IF(H186=I186,"OK","CHECK")</f>
        <v/>
      </c>
    </row>
    <row r="187">
      <c r="A187" t="inlineStr">
        <is>
          <t>OS02554</t>
        </is>
      </c>
      <c r="B187" t="inlineStr">
        <is>
          <t>Q2 2026</t>
        </is>
      </c>
      <c r="C187" t="inlineStr">
        <is>
          <t>PU03</t>
        </is>
      </c>
      <c r="D187" t="inlineStr">
        <is>
          <t>New therapy</t>
        </is>
      </c>
      <c r="E187" t="inlineStr">
        <is>
          <t>THERAPY_E</t>
        </is>
      </c>
      <c r="F187" s="10" t="n">
        <v>46140</v>
      </c>
      <c r="G187" s="10" t="n">
        <v>46175</v>
      </c>
      <c r="H187" t="n">
        <v>26</v>
      </c>
      <c r="I187">
        <f>NETWORKDAYS(F187,G187)</f>
        <v/>
      </c>
      <c r="J187">
        <f>IF(H187=I187,"OK","CHECK")</f>
        <v/>
      </c>
    </row>
    <row r="188">
      <c r="A188" t="inlineStr">
        <is>
          <t>OS02555</t>
        </is>
      </c>
      <c r="B188" t="inlineStr">
        <is>
          <t>Q2 2026</t>
        </is>
      </c>
      <c r="C188" t="inlineStr">
        <is>
          <t>PU01</t>
        </is>
      </c>
      <c r="D188" t="inlineStr">
        <is>
          <t>New patient</t>
        </is>
      </c>
      <c r="E188" t="inlineStr">
        <is>
          <t>THERAPY_B</t>
        </is>
      </c>
      <c r="F188" s="10" t="n">
        <v>46140</v>
      </c>
      <c r="G188" s="10" t="n">
        <v>46168</v>
      </c>
      <c r="H188" t="n">
        <v>21</v>
      </c>
      <c r="I188">
        <f>NETWORKDAYS(F188,G188)</f>
        <v/>
      </c>
      <c r="J188">
        <f>IF(H188=I188,"OK","CHECK")</f>
        <v/>
      </c>
    </row>
    <row r="189">
      <c r="A189" t="inlineStr">
        <is>
          <t>OS02563</t>
        </is>
      </c>
      <c r="B189" t="inlineStr">
        <is>
          <t>Q2 2026</t>
        </is>
      </c>
      <c r="C189" t="inlineStr">
        <is>
          <t>PU05</t>
        </is>
      </c>
      <c r="D189" t="inlineStr">
        <is>
          <t>New patient</t>
        </is>
      </c>
      <c r="E189" t="inlineStr">
        <is>
          <t>THERAPY_J</t>
        </is>
      </c>
      <c r="F189" s="10" t="n">
        <v>46142</v>
      </c>
      <c r="G189" s="10" t="n">
        <v>46169</v>
      </c>
      <c r="H189" t="n">
        <v>20</v>
      </c>
      <c r="I189">
        <f>NETWORKDAYS(F189,G189)</f>
        <v/>
      </c>
      <c r="J189">
        <f>IF(H189=I189,"OK","CHECK")</f>
        <v/>
      </c>
    </row>
    <row r="190">
      <c r="A190" t="inlineStr">
        <is>
          <t>OS02564</t>
        </is>
      </c>
      <c r="B190" t="inlineStr">
        <is>
          <t>Q2 2026</t>
        </is>
      </c>
      <c r="C190" t="inlineStr">
        <is>
          <t>PU03</t>
        </is>
      </c>
      <c r="D190" t="inlineStr">
        <is>
          <t>New patient</t>
        </is>
      </c>
      <c r="E190" t="inlineStr">
        <is>
          <t>THERAPY_E</t>
        </is>
      </c>
      <c r="F190" s="10" t="n">
        <v>46142</v>
      </c>
      <c r="G190" s="10" t="n">
        <v>46175</v>
      </c>
      <c r="H190" t="n">
        <v>24</v>
      </c>
      <c r="I190">
        <f>NETWORKDAYS(F190,G190)</f>
        <v/>
      </c>
      <c r="J190">
        <f>IF(H190=I190,"OK","CHECK")</f>
        <v/>
      </c>
    </row>
    <row r="191">
      <c r="A191" t="inlineStr">
        <is>
          <t>OS02566</t>
        </is>
      </c>
      <c r="B191" t="inlineStr">
        <is>
          <t>Q2 2026</t>
        </is>
      </c>
      <c r="C191" t="inlineStr">
        <is>
          <t>PU07</t>
        </is>
      </c>
      <c r="D191" t="inlineStr">
        <is>
          <t>New patient</t>
        </is>
      </c>
      <c r="E191" t="inlineStr">
        <is>
          <t>THERAPY_B</t>
        </is>
      </c>
      <c r="F191" s="10" t="n">
        <v>46142</v>
      </c>
      <c r="G191" s="10" t="n">
        <v>46175</v>
      </c>
      <c r="H191" t="n">
        <v>24</v>
      </c>
      <c r="I191">
        <f>NETWORKDAYS(F191,G191)</f>
        <v/>
      </c>
      <c r="J191">
        <f>IF(H191=I191,"OK","CHECK")</f>
        <v/>
      </c>
    </row>
    <row r="192">
      <c r="A192" t="inlineStr">
        <is>
          <t>OS02567</t>
        </is>
      </c>
      <c r="B192" t="inlineStr">
        <is>
          <t>Q2 2026</t>
        </is>
      </c>
      <c r="C192" t="inlineStr">
        <is>
          <t>PU04</t>
        </is>
      </c>
      <c r="D192" t="inlineStr">
        <is>
          <t>New patient</t>
        </is>
      </c>
      <c r="E192" t="inlineStr">
        <is>
          <t>THERAPY_I</t>
        </is>
      </c>
      <c r="F192" s="10" t="n">
        <v>46142</v>
      </c>
      <c r="G192" s="10" t="n">
        <v>46161</v>
      </c>
      <c r="H192" t="n">
        <v>14</v>
      </c>
      <c r="I192">
        <f>NETWORKDAYS(F192,G192)</f>
        <v/>
      </c>
      <c r="J192">
        <f>IF(H192=I192,"OK","CHECK")</f>
        <v/>
      </c>
    </row>
    <row r="193">
      <c r="A193" t="inlineStr">
        <is>
          <t>OS02569</t>
        </is>
      </c>
      <c r="B193" t="inlineStr">
        <is>
          <t>Q2 2026</t>
        </is>
      </c>
      <c r="C193" t="inlineStr">
        <is>
          <t>PU99</t>
        </is>
      </c>
      <c r="D193" t="inlineStr">
        <is>
          <t>New patient</t>
        </is>
      </c>
      <c r="E193" t="inlineStr">
        <is>
          <t>THERAPY_H</t>
        </is>
      </c>
      <c r="F193" s="10" t="n">
        <v>46142</v>
      </c>
      <c r="G193" s="10" t="n">
        <v>46168</v>
      </c>
      <c r="H193" t="n">
        <v>19</v>
      </c>
      <c r="I193">
        <f>NETWORKDAYS(F193,G193)</f>
        <v/>
      </c>
      <c r="J193">
        <f>IF(H193=I193,"OK","CHECK")</f>
        <v/>
      </c>
    </row>
    <row r="194">
      <c r="A194" t="inlineStr">
        <is>
          <t>OS02570</t>
        </is>
      </c>
      <c r="B194" t="inlineStr">
        <is>
          <t>Q2 2026</t>
        </is>
      </c>
      <c r="C194" t="inlineStr">
        <is>
          <t>PU04</t>
        </is>
      </c>
      <c r="D194" t="inlineStr">
        <is>
          <t>New therapy</t>
        </is>
      </c>
      <c r="E194" t="inlineStr">
        <is>
          <t>THERAPY_J</t>
        </is>
      </c>
      <c r="F194" s="10" t="n">
        <v>46142</v>
      </c>
      <c r="G194" s="10" t="n">
        <v>46183</v>
      </c>
      <c r="H194" t="n">
        <v>30</v>
      </c>
      <c r="I194">
        <f>NETWORKDAYS(F194,G194)</f>
        <v/>
      </c>
      <c r="J194">
        <f>IF(H194=I194,"OK","CHECK")</f>
        <v/>
      </c>
    </row>
    <row r="195">
      <c r="A195" t="inlineStr">
        <is>
          <t>OS02572</t>
        </is>
      </c>
      <c r="B195" t="inlineStr">
        <is>
          <t>Q2 2026</t>
        </is>
      </c>
      <c r="C195" t="inlineStr">
        <is>
          <t>PU99</t>
        </is>
      </c>
      <c r="D195" t="inlineStr">
        <is>
          <t>New patient</t>
        </is>
      </c>
      <c r="E195" t="inlineStr">
        <is>
          <t>THERAPY_H</t>
        </is>
      </c>
      <c r="F195" s="10" t="n">
        <v>46142</v>
      </c>
      <c r="G195" s="10" t="n">
        <v>46171</v>
      </c>
      <c r="H195" t="n">
        <v>22</v>
      </c>
      <c r="I195">
        <f>NETWORKDAYS(F195,G195)</f>
        <v/>
      </c>
      <c r="J195">
        <f>IF(H195=I195,"OK","CHECK")</f>
        <v/>
      </c>
    </row>
    <row r="196">
      <c r="A196" t="inlineStr">
        <is>
          <t>OS02576</t>
        </is>
      </c>
      <c r="B196" t="inlineStr">
        <is>
          <t>Q3 2026</t>
        </is>
      </c>
      <c r="C196" t="inlineStr">
        <is>
          <t>PU05</t>
        </is>
      </c>
      <c r="D196" t="inlineStr">
        <is>
          <t>New patient</t>
        </is>
      </c>
      <c r="E196" t="inlineStr">
        <is>
          <t>THERAPY_J</t>
        </is>
      </c>
      <c r="F196" s="10" t="n">
        <v>46143</v>
      </c>
      <c r="G196" s="10" t="n">
        <v>46213</v>
      </c>
      <c r="H196" t="n">
        <v>51</v>
      </c>
      <c r="I196">
        <f>NETWORKDAYS(F196,G196)</f>
        <v/>
      </c>
      <c r="J196">
        <f>IF(H196=I196,"OK","CHECK")</f>
        <v/>
      </c>
    </row>
    <row r="197">
      <c r="A197" t="inlineStr">
        <is>
          <t>OS02578</t>
        </is>
      </c>
      <c r="B197" t="inlineStr">
        <is>
          <t>Q2 2026</t>
        </is>
      </c>
      <c r="C197" t="inlineStr">
        <is>
          <t>PU02</t>
        </is>
      </c>
      <c r="D197" t="inlineStr">
        <is>
          <t>New patient</t>
        </is>
      </c>
      <c r="E197" t="inlineStr">
        <is>
          <t>THERAPY_E</t>
        </is>
      </c>
      <c r="F197" s="10" t="n">
        <v>46143</v>
      </c>
      <c r="G197" s="10" t="n">
        <v>46170</v>
      </c>
      <c r="H197" t="n">
        <v>20</v>
      </c>
      <c r="I197">
        <f>NETWORKDAYS(F197,G197)</f>
        <v/>
      </c>
      <c r="J197">
        <f>IF(H197=I197,"OK","CHECK")</f>
        <v/>
      </c>
    </row>
    <row r="198">
      <c r="A198" t="inlineStr">
        <is>
          <t>OS02579</t>
        </is>
      </c>
      <c r="B198" t="inlineStr">
        <is>
          <t>Q2 2026</t>
        </is>
      </c>
      <c r="C198" t="inlineStr">
        <is>
          <t>PU06</t>
        </is>
      </c>
      <c r="D198" t="inlineStr">
        <is>
          <t>New patient</t>
        </is>
      </c>
      <c r="E198" t="inlineStr">
        <is>
          <t>THERAPY_I</t>
        </is>
      </c>
      <c r="F198" s="10" t="n">
        <v>46143</v>
      </c>
      <c r="G198" s="10" t="n">
        <v>46169</v>
      </c>
      <c r="H198" t="n">
        <v>19</v>
      </c>
      <c r="I198">
        <f>NETWORKDAYS(F198,G198)</f>
        <v/>
      </c>
      <c r="J198">
        <f>IF(H198=I198,"OK","CHECK")</f>
        <v/>
      </c>
    </row>
    <row r="199">
      <c r="A199" t="inlineStr">
        <is>
          <t>OS02581</t>
        </is>
      </c>
      <c r="B199" t="inlineStr">
        <is>
          <t>Q2 2026</t>
        </is>
      </c>
      <c r="C199" t="inlineStr">
        <is>
          <t>PU04</t>
        </is>
      </c>
      <c r="D199" t="inlineStr">
        <is>
          <t>New patient</t>
        </is>
      </c>
      <c r="E199" t="inlineStr">
        <is>
          <t>THERAPY_H</t>
        </is>
      </c>
      <c r="F199" s="10" t="n">
        <v>46146</v>
      </c>
      <c r="G199" s="10" t="n">
        <v>46184</v>
      </c>
      <c r="H199" t="n">
        <v>29</v>
      </c>
      <c r="I199">
        <f>NETWORKDAYS(F199,G199)</f>
        <v/>
      </c>
      <c r="J199">
        <f>IF(H199=I199,"OK","CHECK")</f>
        <v/>
      </c>
    </row>
    <row r="200">
      <c r="A200" t="inlineStr">
        <is>
          <t>OS02586</t>
        </is>
      </c>
      <c r="B200" t="inlineStr">
        <is>
          <t>Q2 2026</t>
        </is>
      </c>
      <c r="C200" t="inlineStr">
        <is>
          <t>PU02</t>
        </is>
      </c>
      <c r="D200" t="inlineStr">
        <is>
          <t>New patient</t>
        </is>
      </c>
      <c r="E200" t="inlineStr">
        <is>
          <t>THERAPY_H</t>
        </is>
      </c>
      <c r="F200" s="10" t="n">
        <v>46146</v>
      </c>
      <c r="G200" s="10" t="n">
        <v>46174</v>
      </c>
      <c r="H200" t="n">
        <v>21</v>
      </c>
      <c r="I200">
        <f>NETWORKDAYS(F200,G200)</f>
        <v/>
      </c>
      <c r="J200">
        <f>IF(H200=I200,"OK","CHECK")</f>
        <v/>
      </c>
    </row>
    <row r="201">
      <c r="A201" t="inlineStr">
        <is>
          <t>OS02587</t>
        </is>
      </c>
      <c r="B201" t="inlineStr">
        <is>
          <t>Q2 2026</t>
        </is>
      </c>
      <c r="C201" t="inlineStr">
        <is>
          <t>PU07</t>
        </is>
      </c>
      <c r="D201" t="inlineStr">
        <is>
          <t>New patient</t>
        </is>
      </c>
      <c r="E201" t="inlineStr">
        <is>
          <t>THERAPY_A</t>
        </is>
      </c>
      <c r="F201" s="10" t="n">
        <v>46146</v>
      </c>
      <c r="G201" s="10" t="n">
        <v>46182</v>
      </c>
      <c r="H201" t="n">
        <v>27</v>
      </c>
      <c r="I201">
        <f>NETWORKDAYS(F201,G201)</f>
        <v/>
      </c>
      <c r="J201">
        <f>IF(H201=I201,"OK","CHECK")</f>
        <v/>
      </c>
    </row>
    <row r="202">
      <c r="A202" t="inlineStr">
        <is>
          <t>OS02589</t>
        </is>
      </c>
      <c r="B202" t="inlineStr">
        <is>
          <t>Q2 2026</t>
        </is>
      </c>
      <c r="C202" t="inlineStr">
        <is>
          <t>PU01</t>
        </is>
      </c>
      <c r="D202" t="inlineStr">
        <is>
          <t>New patient</t>
        </is>
      </c>
      <c r="E202" t="inlineStr">
        <is>
          <t>THERAPY_B</t>
        </is>
      </c>
      <c r="F202" s="10" t="n">
        <v>46146</v>
      </c>
      <c r="G202" s="10" t="n">
        <v>46169</v>
      </c>
      <c r="H202" t="n">
        <v>18</v>
      </c>
      <c r="I202">
        <f>NETWORKDAYS(F202,G202)</f>
        <v/>
      </c>
      <c r="J202">
        <f>IF(H202=I202,"OK","CHECK")</f>
        <v/>
      </c>
    </row>
    <row r="203">
      <c r="A203" t="inlineStr">
        <is>
          <t>OS02596</t>
        </is>
      </c>
      <c r="B203" t="inlineStr">
        <is>
          <t>Q2 2026</t>
        </is>
      </c>
      <c r="C203" t="inlineStr">
        <is>
          <t>PU04</t>
        </is>
      </c>
      <c r="D203" t="inlineStr">
        <is>
          <t>New patient</t>
        </is>
      </c>
      <c r="E203" t="inlineStr">
        <is>
          <t>THERAPY_I</t>
        </is>
      </c>
      <c r="F203" s="10" t="n">
        <v>46148</v>
      </c>
      <c r="G203" s="10" t="n">
        <v>46188</v>
      </c>
      <c r="H203" t="n">
        <v>29</v>
      </c>
      <c r="I203">
        <f>NETWORKDAYS(F203,G203)</f>
        <v/>
      </c>
      <c r="J203">
        <f>IF(H203=I203,"OK","CHECK")</f>
        <v/>
      </c>
    </row>
    <row r="204">
      <c r="A204" t="inlineStr">
        <is>
          <t>OS02598</t>
        </is>
      </c>
      <c r="B204" t="inlineStr">
        <is>
          <t>Q2 2026</t>
        </is>
      </c>
      <c r="C204" t="inlineStr">
        <is>
          <t>PU05</t>
        </is>
      </c>
      <c r="D204" t="inlineStr">
        <is>
          <t>New patient</t>
        </is>
      </c>
      <c r="E204" t="inlineStr">
        <is>
          <t>THERAPY_E</t>
        </is>
      </c>
      <c r="F204" s="10" t="n">
        <v>46148</v>
      </c>
      <c r="G204" s="10" t="n">
        <v>46177</v>
      </c>
      <c r="H204" t="n">
        <v>22</v>
      </c>
      <c r="I204">
        <f>NETWORKDAYS(F204,G204)</f>
        <v/>
      </c>
      <c r="J204">
        <f>IF(H204=I204,"OK","CHECK")</f>
        <v/>
      </c>
    </row>
    <row r="205">
      <c r="A205" t="inlineStr">
        <is>
          <t>OS02601</t>
        </is>
      </c>
      <c r="B205" t="inlineStr">
        <is>
          <t>Q2 2026</t>
        </is>
      </c>
      <c r="C205" t="inlineStr">
        <is>
          <t>PU99</t>
        </is>
      </c>
      <c r="D205" t="inlineStr">
        <is>
          <t>New patient</t>
        </is>
      </c>
      <c r="E205" t="inlineStr">
        <is>
          <t>THERAPY_C</t>
        </is>
      </c>
      <c r="F205" s="10" t="n">
        <v>46148</v>
      </c>
      <c r="G205" s="10" t="n">
        <v>46171</v>
      </c>
      <c r="H205" t="n">
        <v>18</v>
      </c>
      <c r="I205">
        <f>NETWORKDAYS(F205,G205)</f>
        <v/>
      </c>
      <c r="J205">
        <f>IF(H205=I205,"OK","CHECK")</f>
        <v/>
      </c>
    </row>
    <row r="206">
      <c r="A206" t="inlineStr">
        <is>
          <t>OS02602</t>
        </is>
      </c>
      <c r="B206" t="inlineStr">
        <is>
          <t>Q2 2026</t>
        </is>
      </c>
      <c r="C206" t="inlineStr">
        <is>
          <t>PU01</t>
        </is>
      </c>
      <c r="D206" t="inlineStr">
        <is>
          <t>New patient</t>
        </is>
      </c>
      <c r="E206" t="inlineStr">
        <is>
          <t>THERAPY_G</t>
        </is>
      </c>
      <c r="F206" s="10" t="n">
        <v>46148</v>
      </c>
      <c r="G206" s="10" t="n">
        <v>46182</v>
      </c>
      <c r="H206" t="n">
        <v>25</v>
      </c>
      <c r="I206">
        <f>NETWORKDAYS(F206,G206)</f>
        <v/>
      </c>
      <c r="J206">
        <f>IF(H206=I206,"OK","CHECK")</f>
        <v/>
      </c>
    </row>
    <row r="207">
      <c r="A207" t="inlineStr">
        <is>
          <t>OS02605</t>
        </is>
      </c>
      <c r="B207" t="inlineStr">
        <is>
          <t>Q2 2026</t>
        </is>
      </c>
      <c r="C207" t="inlineStr">
        <is>
          <t>PU99</t>
        </is>
      </c>
      <c r="D207" t="inlineStr">
        <is>
          <t>New patient</t>
        </is>
      </c>
      <c r="E207" t="inlineStr">
        <is>
          <t>THERAPY_B</t>
        </is>
      </c>
      <c r="F207" s="10" t="n">
        <v>46148</v>
      </c>
      <c r="G207" s="10" t="n">
        <v>46176</v>
      </c>
      <c r="H207" t="n">
        <v>21</v>
      </c>
      <c r="I207">
        <f>NETWORKDAYS(F207,G207)</f>
        <v/>
      </c>
      <c r="J207">
        <f>IF(H207=I207,"OK","CHECK")</f>
        <v/>
      </c>
    </row>
    <row r="208">
      <c r="A208" t="inlineStr">
        <is>
          <t>OS02606</t>
        </is>
      </c>
      <c r="B208" t="inlineStr">
        <is>
          <t>Q2 2026</t>
        </is>
      </c>
      <c r="C208" t="inlineStr">
        <is>
          <t>PU99</t>
        </is>
      </c>
      <c r="D208" t="inlineStr">
        <is>
          <t>New patient</t>
        </is>
      </c>
      <c r="E208" t="inlineStr">
        <is>
          <t>THERAPY_B</t>
        </is>
      </c>
      <c r="F208" s="10" t="n">
        <v>46148</v>
      </c>
      <c r="G208" s="10" t="n">
        <v>46174</v>
      </c>
      <c r="H208" t="n">
        <v>19</v>
      </c>
      <c r="I208">
        <f>NETWORKDAYS(F208,G208)</f>
        <v/>
      </c>
      <c r="J208">
        <f>IF(H208=I208,"OK","CHECK")</f>
        <v/>
      </c>
    </row>
    <row r="209">
      <c r="A209" t="inlineStr">
        <is>
          <t>OS02607</t>
        </is>
      </c>
      <c r="B209" t="inlineStr">
        <is>
          <t>Q2 2026</t>
        </is>
      </c>
      <c r="C209" t="inlineStr">
        <is>
          <t>PU03</t>
        </is>
      </c>
      <c r="D209" t="inlineStr">
        <is>
          <t>New patient</t>
        </is>
      </c>
      <c r="E209" t="inlineStr">
        <is>
          <t>THERAPY_H</t>
        </is>
      </c>
      <c r="F209" s="10" t="n">
        <v>46148</v>
      </c>
      <c r="G209" s="10" t="n">
        <v>46163</v>
      </c>
      <c r="H209" t="n">
        <v>12</v>
      </c>
      <c r="I209">
        <f>NETWORKDAYS(F209,G209)</f>
        <v/>
      </c>
      <c r="J209">
        <f>IF(H209=I209,"OK","CHECK")</f>
        <v/>
      </c>
    </row>
    <row r="210">
      <c r="A210" t="inlineStr">
        <is>
          <t>OS02608</t>
        </is>
      </c>
      <c r="B210" t="inlineStr">
        <is>
          <t>Q2 2026</t>
        </is>
      </c>
      <c r="C210" t="inlineStr">
        <is>
          <t>PU10</t>
        </is>
      </c>
      <c r="D210" t="inlineStr">
        <is>
          <t>New patient</t>
        </is>
      </c>
      <c r="E210" t="inlineStr">
        <is>
          <t>THERAPY_B</t>
        </is>
      </c>
      <c r="F210" s="10" t="n">
        <v>46149</v>
      </c>
      <c r="G210" s="10" t="n">
        <v>46162</v>
      </c>
      <c r="H210" t="n">
        <v>10</v>
      </c>
      <c r="I210">
        <f>NETWORKDAYS(F210,G210)</f>
        <v/>
      </c>
      <c r="J210">
        <f>IF(H210=I210,"OK","CHECK")</f>
        <v/>
      </c>
    </row>
    <row r="211">
      <c r="A211" t="inlineStr">
        <is>
          <t>OS02609</t>
        </is>
      </c>
      <c r="B211" t="inlineStr">
        <is>
          <t>Q2 2026</t>
        </is>
      </c>
      <c r="C211" t="inlineStr">
        <is>
          <t>PU01</t>
        </is>
      </c>
      <c r="D211" t="inlineStr">
        <is>
          <t>New patient</t>
        </is>
      </c>
      <c r="E211" t="inlineStr">
        <is>
          <t>THERAPY_C</t>
        </is>
      </c>
      <c r="F211" s="10" t="n">
        <v>46149</v>
      </c>
      <c r="G211" s="10" t="n">
        <v>46175</v>
      </c>
      <c r="H211" t="n">
        <v>19</v>
      </c>
      <c r="I211">
        <f>NETWORKDAYS(F211,G211)</f>
        <v/>
      </c>
      <c r="J211">
        <f>IF(H211=I211,"OK","CHECK")</f>
        <v/>
      </c>
    </row>
    <row r="212">
      <c r="A212" t="inlineStr">
        <is>
          <t>OS02610</t>
        </is>
      </c>
      <c r="B212" t="inlineStr">
        <is>
          <t>Q2 2026</t>
        </is>
      </c>
      <c r="C212" t="inlineStr">
        <is>
          <t>PU09</t>
        </is>
      </c>
      <c r="D212" t="inlineStr">
        <is>
          <t>New patient</t>
        </is>
      </c>
      <c r="E212" t="inlineStr">
        <is>
          <t>THERAPY_F</t>
        </is>
      </c>
      <c r="F212" s="10" t="n">
        <v>46149</v>
      </c>
      <c r="G212" s="10" t="n">
        <v>46182</v>
      </c>
      <c r="H212" t="n">
        <v>24</v>
      </c>
      <c r="I212">
        <f>NETWORKDAYS(F212,G212)</f>
        <v/>
      </c>
      <c r="J212">
        <f>IF(H212=I212,"OK","CHECK")</f>
        <v/>
      </c>
    </row>
    <row r="213">
      <c r="A213" t="inlineStr">
        <is>
          <t>OS02611</t>
        </is>
      </c>
      <c r="B213" t="inlineStr">
        <is>
          <t>Q2 2026</t>
        </is>
      </c>
      <c r="C213" t="inlineStr">
        <is>
          <t>PU01</t>
        </is>
      </c>
      <c r="D213" t="inlineStr">
        <is>
          <t>New patient</t>
        </is>
      </c>
      <c r="E213" t="inlineStr">
        <is>
          <t>THERAPY_F</t>
        </is>
      </c>
      <c r="F213" s="10" t="n">
        <v>46149</v>
      </c>
      <c r="G213" s="10" t="n">
        <v>46168</v>
      </c>
      <c r="H213" t="n">
        <v>14</v>
      </c>
      <c r="I213">
        <f>NETWORKDAYS(F213,G213)</f>
        <v/>
      </c>
      <c r="J213">
        <f>IF(H213=I213,"OK","CHECK")</f>
        <v/>
      </c>
    </row>
    <row r="214">
      <c r="A214" t="inlineStr">
        <is>
          <t>OS02612</t>
        </is>
      </c>
      <c r="B214" t="inlineStr">
        <is>
          <t>Q2 2026</t>
        </is>
      </c>
      <c r="C214" t="inlineStr">
        <is>
          <t>PU03</t>
        </is>
      </c>
      <c r="D214" t="inlineStr">
        <is>
          <t>New patient</t>
        </is>
      </c>
      <c r="E214" t="inlineStr">
        <is>
          <t>THERAPY_H</t>
        </is>
      </c>
      <c r="F214" s="10" t="n">
        <v>46149</v>
      </c>
      <c r="G214" s="10" t="n">
        <v>46176</v>
      </c>
      <c r="H214" t="n">
        <v>20</v>
      </c>
      <c r="I214">
        <f>NETWORKDAYS(F214,G214)</f>
        <v/>
      </c>
      <c r="J214">
        <f>IF(H214=I214,"OK","CHECK")</f>
        <v/>
      </c>
    </row>
    <row r="215">
      <c r="A215" t="inlineStr">
        <is>
          <t>OS02613</t>
        </is>
      </c>
      <c r="B215" t="inlineStr">
        <is>
          <t>Q2 2026</t>
        </is>
      </c>
      <c r="C215" t="inlineStr">
        <is>
          <t>PU05</t>
        </is>
      </c>
      <c r="D215" t="inlineStr">
        <is>
          <t>New patient</t>
        </is>
      </c>
      <c r="E215" t="inlineStr">
        <is>
          <t>THERAPY_B</t>
        </is>
      </c>
      <c r="F215" s="10" t="n">
        <v>46149</v>
      </c>
      <c r="G215" s="10" t="n">
        <v>46176</v>
      </c>
      <c r="H215" t="n">
        <v>20</v>
      </c>
      <c r="I215">
        <f>NETWORKDAYS(F215,G215)</f>
        <v/>
      </c>
      <c r="J215">
        <f>IF(H215=I215,"OK","CHECK")</f>
        <v/>
      </c>
    </row>
    <row r="216">
      <c r="A216" t="inlineStr">
        <is>
          <t>OS02614</t>
        </is>
      </c>
      <c r="B216" t="inlineStr">
        <is>
          <t>Q2 2026</t>
        </is>
      </c>
      <c r="C216" t="inlineStr">
        <is>
          <t>PU06</t>
        </is>
      </c>
      <c r="D216" t="inlineStr">
        <is>
          <t>New patient</t>
        </is>
      </c>
      <c r="E216" t="inlineStr">
        <is>
          <t>THERAPY_D</t>
        </is>
      </c>
      <c r="F216" s="10" t="n">
        <v>46149</v>
      </c>
      <c r="G216" s="10" t="n">
        <v>46182</v>
      </c>
      <c r="H216" t="n">
        <v>24</v>
      </c>
      <c r="I216">
        <f>NETWORKDAYS(F216,G216)</f>
        <v/>
      </c>
      <c r="J216">
        <f>IF(H216=I216,"OK","CHECK")</f>
        <v/>
      </c>
    </row>
    <row r="217">
      <c r="A217" t="inlineStr">
        <is>
          <t>OS02615</t>
        </is>
      </c>
      <c r="B217" t="inlineStr">
        <is>
          <t>Q2 2026</t>
        </is>
      </c>
      <c r="C217" t="inlineStr">
        <is>
          <t>PU05</t>
        </is>
      </c>
      <c r="D217" t="inlineStr">
        <is>
          <t>New patient</t>
        </is>
      </c>
      <c r="E217" t="inlineStr">
        <is>
          <t>THERAPY_A</t>
        </is>
      </c>
      <c r="F217" s="10" t="n">
        <v>46150</v>
      </c>
      <c r="G217" s="10" t="n">
        <v>46183</v>
      </c>
      <c r="H217" t="n">
        <v>24</v>
      </c>
      <c r="I217">
        <f>NETWORKDAYS(F217,G217)</f>
        <v/>
      </c>
      <c r="J217">
        <f>IF(H217=I217,"OK","CHECK")</f>
        <v/>
      </c>
    </row>
    <row r="218">
      <c r="A218" t="inlineStr">
        <is>
          <t>OS02617</t>
        </is>
      </c>
      <c r="B218" t="inlineStr">
        <is>
          <t>Q2 2026</t>
        </is>
      </c>
      <c r="C218" t="inlineStr">
        <is>
          <t>PU08</t>
        </is>
      </c>
      <c r="D218" t="inlineStr">
        <is>
          <t>New patient</t>
        </is>
      </c>
      <c r="E218" t="inlineStr">
        <is>
          <t>THERAPY_E</t>
        </is>
      </c>
      <c r="F218" s="10" t="n">
        <v>46150</v>
      </c>
      <c r="G218" s="10" t="n">
        <v>46188</v>
      </c>
      <c r="H218" t="n">
        <v>27</v>
      </c>
      <c r="I218">
        <f>NETWORKDAYS(F218,G218)</f>
        <v/>
      </c>
      <c r="J218">
        <f>IF(H218=I218,"OK","CHECK")</f>
        <v/>
      </c>
    </row>
    <row r="219">
      <c r="A219" t="inlineStr">
        <is>
          <t>OS02618</t>
        </is>
      </c>
      <c r="B219" t="inlineStr">
        <is>
          <t>Q2 2026</t>
        </is>
      </c>
      <c r="C219" t="inlineStr">
        <is>
          <t>PU02</t>
        </is>
      </c>
      <c r="D219" t="inlineStr">
        <is>
          <t>New patient</t>
        </is>
      </c>
      <c r="E219" t="inlineStr">
        <is>
          <t>THERAPY_D</t>
        </is>
      </c>
      <c r="F219" s="10" t="n">
        <v>46150</v>
      </c>
      <c r="G219" s="10" t="n">
        <v>46177</v>
      </c>
      <c r="H219" t="n">
        <v>20</v>
      </c>
      <c r="I219">
        <f>NETWORKDAYS(F219,G219)</f>
        <v/>
      </c>
      <c r="J219">
        <f>IF(H219=I219,"OK","CHECK")</f>
        <v/>
      </c>
    </row>
    <row r="220">
      <c r="A220" t="inlineStr">
        <is>
          <t>OS02619</t>
        </is>
      </c>
      <c r="B220" t="inlineStr">
        <is>
          <t>Q2 2026</t>
        </is>
      </c>
      <c r="C220" t="inlineStr">
        <is>
          <t>PU02</t>
        </is>
      </c>
      <c r="D220" t="inlineStr">
        <is>
          <t>New patient</t>
        </is>
      </c>
      <c r="E220" t="inlineStr">
        <is>
          <t>THERAPY_F</t>
        </is>
      </c>
      <c r="F220" s="10" t="n">
        <v>46150</v>
      </c>
      <c r="G220" s="10" t="n">
        <v>46190</v>
      </c>
      <c r="H220" t="n">
        <v>29</v>
      </c>
      <c r="I220">
        <f>NETWORKDAYS(F220,G220)</f>
        <v/>
      </c>
      <c r="J220">
        <f>IF(H220=I220,"OK","CHECK")</f>
        <v/>
      </c>
    </row>
    <row r="221">
      <c r="A221" t="inlineStr">
        <is>
          <t>OS02620</t>
        </is>
      </c>
      <c r="B221" t="inlineStr">
        <is>
          <t>Q2 2026</t>
        </is>
      </c>
      <c r="C221" t="inlineStr">
        <is>
          <t>PU99</t>
        </is>
      </c>
      <c r="D221" t="inlineStr">
        <is>
          <t>New patient</t>
        </is>
      </c>
      <c r="E221" t="inlineStr">
        <is>
          <t>THERAPY_J</t>
        </is>
      </c>
      <c r="F221" s="10" t="n">
        <v>46150</v>
      </c>
      <c r="G221" s="10" t="n">
        <v>46174</v>
      </c>
      <c r="H221" t="n">
        <v>17</v>
      </c>
      <c r="I221">
        <f>NETWORKDAYS(F221,G221)</f>
        <v/>
      </c>
      <c r="J221">
        <f>IF(H221=I221,"OK","CHECK")</f>
        <v/>
      </c>
    </row>
    <row r="222">
      <c r="A222" t="inlineStr">
        <is>
          <t>OS02621</t>
        </is>
      </c>
      <c r="B222" t="inlineStr">
        <is>
          <t>Q2 2026</t>
        </is>
      </c>
      <c r="C222" t="inlineStr">
        <is>
          <t>PU10</t>
        </is>
      </c>
      <c r="D222" t="inlineStr">
        <is>
          <t>New patient</t>
        </is>
      </c>
      <c r="E222" t="inlineStr">
        <is>
          <t>THERAPY_A</t>
        </is>
      </c>
      <c r="F222" s="10" t="n">
        <v>46153</v>
      </c>
      <c r="G222" s="10" t="n">
        <v>46168</v>
      </c>
      <c r="H222" t="n">
        <v>12</v>
      </c>
      <c r="I222">
        <f>NETWORKDAYS(F222,G222)</f>
        <v/>
      </c>
      <c r="J222">
        <f>IF(H222=I222,"OK","CHECK")</f>
        <v/>
      </c>
    </row>
    <row r="223">
      <c r="A223" t="inlineStr">
        <is>
          <t>OS02622</t>
        </is>
      </c>
      <c r="B223" t="inlineStr">
        <is>
          <t>Q2 2026</t>
        </is>
      </c>
      <c r="C223" t="inlineStr">
        <is>
          <t>PU09</t>
        </is>
      </c>
      <c r="D223" t="inlineStr">
        <is>
          <t>New patient</t>
        </is>
      </c>
      <c r="E223" t="inlineStr">
        <is>
          <t>THERAPY_D</t>
        </is>
      </c>
      <c r="F223" s="10" t="n">
        <v>46153</v>
      </c>
      <c r="G223" s="10" t="n">
        <v>46188</v>
      </c>
      <c r="H223" t="n">
        <v>26</v>
      </c>
      <c r="I223">
        <f>NETWORKDAYS(F223,G223)</f>
        <v/>
      </c>
      <c r="J223">
        <f>IF(H223=I223,"OK","CHECK")</f>
        <v/>
      </c>
    </row>
    <row r="224">
      <c r="A224" t="inlineStr">
        <is>
          <t>OS02624</t>
        </is>
      </c>
      <c r="B224" t="inlineStr">
        <is>
          <t>Q2 2026</t>
        </is>
      </c>
      <c r="C224" t="inlineStr">
        <is>
          <t>PU05</t>
        </is>
      </c>
      <c r="D224" t="inlineStr">
        <is>
          <t>New patient</t>
        </is>
      </c>
      <c r="E224" t="inlineStr">
        <is>
          <t>THERAPY_G</t>
        </is>
      </c>
      <c r="F224" s="10" t="n">
        <v>46153</v>
      </c>
      <c r="G224" s="10" t="n">
        <v>46188</v>
      </c>
      <c r="H224" t="n">
        <v>26</v>
      </c>
      <c r="I224">
        <f>NETWORKDAYS(F224,G224)</f>
        <v/>
      </c>
      <c r="J224">
        <f>IF(H224=I224,"OK","CHECK")</f>
        <v/>
      </c>
    </row>
    <row r="225">
      <c r="A225" t="inlineStr">
        <is>
          <t>OS02626</t>
        </is>
      </c>
      <c r="B225" t="inlineStr">
        <is>
          <t>Q2 2026</t>
        </is>
      </c>
      <c r="C225" t="inlineStr">
        <is>
          <t>PU05</t>
        </is>
      </c>
      <c r="D225" t="inlineStr">
        <is>
          <t>New patient</t>
        </is>
      </c>
      <c r="E225" t="inlineStr">
        <is>
          <t>THERAPY_H</t>
        </is>
      </c>
      <c r="F225" s="10" t="n">
        <v>46153</v>
      </c>
      <c r="G225" s="10" t="n">
        <v>46176</v>
      </c>
      <c r="H225" t="n">
        <v>18</v>
      </c>
      <c r="I225">
        <f>NETWORKDAYS(F225,G225)</f>
        <v/>
      </c>
      <c r="J225">
        <f>IF(H225=I225,"OK","CHECK")</f>
        <v/>
      </c>
    </row>
    <row r="226">
      <c r="A226" t="inlineStr">
        <is>
          <t>OS02627</t>
        </is>
      </c>
      <c r="B226" t="inlineStr">
        <is>
          <t>Q2 2026</t>
        </is>
      </c>
      <c r="C226" t="inlineStr">
        <is>
          <t>PU05</t>
        </is>
      </c>
      <c r="D226" t="inlineStr">
        <is>
          <t>New patient</t>
        </is>
      </c>
      <c r="E226" t="inlineStr">
        <is>
          <t>THERAPY_J</t>
        </is>
      </c>
      <c r="F226" s="10" t="n">
        <v>46154</v>
      </c>
      <c r="G226" s="10" t="n">
        <v>46176</v>
      </c>
      <c r="H226" t="n">
        <v>17</v>
      </c>
      <c r="I226">
        <f>NETWORKDAYS(F226,G226)</f>
        <v/>
      </c>
      <c r="J226">
        <f>IF(H226=I226,"OK","CHECK")</f>
        <v/>
      </c>
    </row>
    <row r="227">
      <c r="A227" t="inlineStr">
        <is>
          <t>OS02628</t>
        </is>
      </c>
      <c r="B227" t="inlineStr">
        <is>
          <t>Q2 2026</t>
        </is>
      </c>
      <c r="C227" t="inlineStr">
        <is>
          <t>PU10</t>
        </is>
      </c>
      <c r="D227" t="inlineStr">
        <is>
          <t>New patient</t>
        </is>
      </c>
      <c r="E227" t="inlineStr">
        <is>
          <t>THERAPY_B</t>
        </is>
      </c>
      <c r="F227" s="10" t="n">
        <v>46154</v>
      </c>
      <c r="G227" s="10" t="n">
        <v>46163</v>
      </c>
      <c r="H227" t="n">
        <v>8</v>
      </c>
      <c r="I227">
        <f>NETWORKDAYS(F227,G227)</f>
        <v/>
      </c>
      <c r="J227">
        <f>IF(H227=I227,"OK","CHECK")</f>
        <v/>
      </c>
    </row>
    <row r="228">
      <c r="A228" t="inlineStr">
        <is>
          <t>OS02629</t>
        </is>
      </c>
      <c r="B228" t="inlineStr">
        <is>
          <t>Q2 2026</t>
        </is>
      </c>
      <c r="C228" t="inlineStr">
        <is>
          <t>PU02</t>
        </is>
      </c>
      <c r="D228" t="inlineStr">
        <is>
          <t>New patient</t>
        </is>
      </c>
      <c r="E228" t="inlineStr">
        <is>
          <t>THERAPY_I</t>
        </is>
      </c>
      <c r="F228" s="10" t="n">
        <v>46154</v>
      </c>
      <c r="G228" s="10" t="n">
        <v>46202</v>
      </c>
      <c r="H228" t="n">
        <v>35</v>
      </c>
      <c r="I228">
        <f>NETWORKDAYS(F228,G228)</f>
        <v/>
      </c>
      <c r="J228">
        <f>IF(H228=I228,"OK","CHECK")</f>
        <v/>
      </c>
    </row>
    <row r="229">
      <c r="A229" t="inlineStr">
        <is>
          <t>OS02631</t>
        </is>
      </c>
      <c r="B229" t="inlineStr">
        <is>
          <t>Q2 2026</t>
        </is>
      </c>
      <c r="C229" t="inlineStr">
        <is>
          <t>PU99</t>
        </is>
      </c>
      <c r="D229" t="inlineStr">
        <is>
          <t>New patient</t>
        </is>
      </c>
      <c r="E229" t="inlineStr">
        <is>
          <t>THERAPY_I</t>
        </is>
      </c>
      <c r="F229" s="10" t="n">
        <v>46154</v>
      </c>
      <c r="G229" s="10" t="n">
        <v>46189</v>
      </c>
      <c r="H229" t="n">
        <v>26</v>
      </c>
      <c r="I229">
        <f>NETWORKDAYS(F229,G229)</f>
        <v/>
      </c>
      <c r="J229">
        <f>IF(H229=I229,"OK","CHECK")</f>
        <v/>
      </c>
    </row>
    <row r="230">
      <c r="A230" t="inlineStr">
        <is>
          <t>OS02633</t>
        </is>
      </c>
      <c r="B230" t="inlineStr">
        <is>
          <t>Q2 2026</t>
        </is>
      </c>
      <c r="C230" t="inlineStr">
        <is>
          <t>PU03</t>
        </is>
      </c>
      <c r="D230" t="inlineStr">
        <is>
          <t>New patient</t>
        </is>
      </c>
      <c r="E230" t="inlineStr">
        <is>
          <t>THERAPY_A</t>
        </is>
      </c>
      <c r="F230" s="10" t="n">
        <v>46154</v>
      </c>
      <c r="G230" s="10" t="n">
        <v>46190</v>
      </c>
      <c r="H230" t="n">
        <v>27</v>
      </c>
      <c r="I230">
        <f>NETWORKDAYS(F230,G230)</f>
        <v/>
      </c>
      <c r="J230">
        <f>IF(H230=I230,"OK","CHECK")</f>
        <v/>
      </c>
    </row>
    <row r="231">
      <c r="A231" t="inlineStr">
        <is>
          <t>OS02634</t>
        </is>
      </c>
      <c r="B231" t="inlineStr">
        <is>
          <t>Q2 2026</t>
        </is>
      </c>
      <c r="C231" t="inlineStr">
        <is>
          <t>PU10</t>
        </is>
      </c>
      <c r="D231" t="inlineStr">
        <is>
          <t>New patient</t>
        </is>
      </c>
      <c r="E231" t="inlineStr">
        <is>
          <t>THERAPY_I</t>
        </is>
      </c>
      <c r="F231" s="10" t="n">
        <v>46154</v>
      </c>
      <c r="G231" s="10" t="n">
        <v>46175</v>
      </c>
      <c r="H231" t="n">
        <v>16</v>
      </c>
      <c r="I231">
        <f>NETWORKDAYS(F231,G231)</f>
        <v/>
      </c>
      <c r="J231">
        <f>IF(H231=I231,"OK","CHECK")</f>
        <v/>
      </c>
    </row>
    <row r="232">
      <c r="A232" t="inlineStr">
        <is>
          <t>OS02637</t>
        </is>
      </c>
      <c r="B232" t="inlineStr">
        <is>
          <t>Q2 2026</t>
        </is>
      </c>
      <c r="C232" t="inlineStr">
        <is>
          <t>PU06</t>
        </is>
      </c>
      <c r="D232" t="inlineStr">
        <is>
          <t>New patient</t>
        </is>
      </c>
      <c r="E232" t="inlineStr">
        <is>
          <t>THERAPY_H</t>
        </is>
      </c>
      <c r="F232" s="10" t="n">
        <v>46155</v>
      </c>
      <c r="G232" s="10" t="n">
        <v>46182</v>
      </c>
      <c r="H232" t="n">
        <v>20</v>
      </c>
      <c r="I232">
        <f>NETWORKDAYS(F232,G232)</f>
        <v/>
      </c>
      <c r="J232">
        <f>IF(H232=I232,"OK","CHECK")</f>
        <v/>
      </c>
    </row>
    <row r="233">
      <c r="A233" t="inlineStr">
        <is>
          <t>OS02638</t>
        </is>
      </c>
      <c r="B233" t="inlineStr">
        <is>
          <t>Q2 2026</t>
        </is>
      </c>
      <c r="C233" t="inlineStr">
        <is>
          <t>PU10</t>
        </is>
      </c>
      <c r="D233" t="inlineStr">
        <is>
          <t>New patient</t>
        </is>
      </c>
      <c r="E233" t="inlineStr">
        <is>
          <t>THERAPY_H</t>
        </is>
      </c>
      <c r="F233" s="10" t="n">
        <v>46155</v>
      </c>
      <c r="G233" s="10" t="n">
        <v>46190</v>
      </c>
      <c r="H233" t="n">
        <v>26</v>
      </c>
      <c r="I233">
        <f>NETWORKDAYS(F233,G233)</f>
        <v/>
      </c>
      <c r="J233">
        <f>IF(H233=I233,"OK","CHECK")</f>
        <v/>
      </c>
    </row>
    <row r="234">
      <c r="A234" t="inlineStr">
        <is>
          <t>OS02639</t>
        </is>
      </c>
      <c r="B234" t="inlineStr">
        <is>
          <t>Q2 2026</t>
        </is>
      </c>
      <c r="C234" t="inlineStr">
        <is>
          <t>PU01</t>
        </is>
      </c>
      <c r="D234" t="inlineStr">
        <is>
          <t>New patient</t>
        </is>
      </c>
      <c r="E234" t="inlineStr">
        <is>
          <t>THERAPY_B</t>
        </is>
      </c>
      <c r="F234" s="10" t="n">
        <v>46155</v>
      </c>
      <c r="G234" s="10" t="n">
        <v>46183</v>
      </c>
      <c r="H234" t="n">
        <v>21</v>
      </c>
      <c r="I234">
        <f>NETWORKDAYS(F234,G234)</f>
        <v/>
      </c>
      <c r="J234">
        <f>IF(H234=I234,"OK","CHECK")</f>
        <v/>
      </c>
    </row>
    <row r="235">
      <c r="A235" t="inlineStr">
        <is>
          <t>OS02641</t>
        </is>
      </c>
      <c r="B235" t="inlineStr">
        <is>
          <t>Q2 2026</t>
        </is>
      </c>
      <c r="C235" t="inlineStr">
        <is>
          <t>PU05</t>
        </is>
      </c>
      <c r="D235" t="inlineStr">
        <is>
          <t>New patient</t>
        </is>
      </c>
      <c r="E235" t="inlineStr">
        <is>
          <t>THERAPY_F</t>
        </is>
      </c>
      <c r="F235" s="10" t="n">
        <v>46155</v>
      </c>
      <c r="G235" s="10" t="n">
        <v>46189</v>
      </c>
      <c r="H235" t="n">
        <v>25</v>
      </c>
      <c r="I235">
        <f>NETWORKDAYS(F235,G235)</f>
        <v/>
      </c>
      <c r="J235">
        <f>IF(H235=I235,"OK","CHECK")</f>
        <v/>
      </c>
    </row>
    <row r="236">
      <c r="A236" t="inlineStr">
        <is>
          <t>OS02645</t>
        </is>
      </c>
      <c r="B236" t="inlineStr">
        <is>
          <t>Q2 2026</t>
        </is>
      </c>
      <c r="C236" t="inlineStr">
        <is>
          <t>PU03</t>
        </is>
      </c>
      <c r="D236" t="inlineStr">
        <is>
          <t>New patient</t>
        </is>
      </c>
      <c r="E236" t="inlineStr">
        <is>
          <t>THERAPY_I</t>
        </is>
      </c>
      <c r="F236" s="10" t="n">
        <v>46156</v>
      </c>
      <c r="G236" s="10" t="n">
        <v>46198</v>
      </c>
      <c r="H236" t="n">
        <v>31</v>
      </c>
      <c r="I236">
        <f>NETWORKDAYS(F236,G236)</f>
        <v/>
      </c>
      <c r="J236">
        <f>IF(H236=I236,"OK","CHECK")</f>
        <v/>
      </c>
    </row>
    <row r="237">
      <c r="A237" t="inlineStr">
        <is>
          <t>OS02646</t>
        </is>
      </c>
      <c r="B237" t="inlineStr">
        <is>
          <t>Q2 2026</t>
        </is>
      </c>
      <c r="C237" t="inlineStr">
        <is>
          <t>PU08</t>
        </is>
      </c>
      <c r="D237" t="inlineStr">
        <is>
          <t>New patient</t>
        </is>
      </c>
      <c r="E237" t="inlineStr">
        <is>
          <t>THERAPY_E</t>
        </is>
      </c>
      <c r="F237" s="10" t="n">
        <v>46156</v>
      </c>
      <c r="G237" s="10" t="n">
        <v>46198</v>
      </c>
      <c r="H237" t="n">
        <v>31</v>
      </c>
      <c r="I237">
        <f>NETWORKDAYS(F237,G237)</f>
        <v/>
      </c>
      <c r="J237">
        <f>IF(H237=I237,"OK","CHECK")</f>
        <v/>
      </c>
    </row>
    <row r="238">
      <c r="A238" t="inlineStr">
        <is>
          <t>OS02649</t>
        </is>
      </c>
      <c r="B238" t="inlineStr">
        <is>
          <t>Q2 2026</t>
        </is>
      </c>
      <c r="C238" t="inlineStr">
        <is>
          <t>PU01</t>
        </is>
      </c>
      <c r="D238" t="inlineStr">
        <is>
          <t>New patient</t>
        </is>
      </c>
      <c r="E238" t="inlineStr">
        <is>
          <t>THERAPY_H</t>
        </is>
      </c>
      <c r="F238" s="10" t="n">
        <v>46156</v>
      </c>
      <c r="G238" s="10" t="n">
        <v>46171</v>
      </c>
      <c r="H238" t="n">
        <v>12</v>
      </c>
      <c r="I238">
        <f>NETWORKDAYS(F238,G238)</f>
        <v/>
      </c>
      <c r="J238">
        <f>IF(H238=I238,"OK","CHECK")</f>
        <v/>
      </c>
    </row>
    <row r="239">
      <c r="A239" t="inlineStr">
        <is>
          <t>OS02652</t>
        </is>
      </c>
      <c r="B239" t="inlineStr">
        <is>
          <t>Q2 2026</t>
        </is>
      </c>
      <c r="C239" t="inlineStr">
        <is>
          <t>PU01</t>
        </is>
      </c>
      <c r="D239" t="inlineStr">
        <is>
          <t>New patient</t>
        </is>
      </c>
      <c r="E239" t="inlineStr">
        <is>
          <t>THERAPY_E</t>
        </is>
      </c>
      <c r="F239" s="10" t="n">
        <v>46156</v>
      </c>
      <c r="G239" s="10" t="n">
        <v>46182</v>
      </c>
      <c r="H239" t="n">
        <v>19</v>
      </c>
      <c r="I239">
        <f>NETWORKDAYS(F239,G239)</f>
        <v/>
      </c>
      <c r="J239">
        <f>IF(H239=I239,"OK","CHECK")</f>
        <v/>
      </c>
    </row>
    <row r="240">
      <c r="A240" t="inlineStr">
        <is>
          <t>OS02653</t>
        </is>
      </c>
      <c r="B240" t="inlineStr">
        <is>
          <t>Q2 2026</t>
        </is>
      </c>
      <c r="C240" t="inlineStr">
        <is>
          <t>PU04</t>
        </is>
      </c>
      <c r="D240" t="inlineStr">
        <is>
          <t>New patient</t>
        </is>
      </c>
      <c r="E240" t="inlineStr">
        <is>
          <t>THERAPY_G</t>
        </is>
      </c>
      <c r="F240" s="10" t="n">
        <v>46156</v>
      </c>
      <c r="G240" s="10" t="n">
        <v>46183</v>
      </c>
      <c r="H240" t="n">
        <v>20</v>
      </c>
      <c r="I240">
        <f>NETWORKDAYS(F240,G240)</f>
        <v/>
      </c>
      <c r="J240">
        <f>IF(H240=I240,"OK","CHECK")</f>
        <v/>
      </c>
    </row>
    <row r="241">
      <c r="A241" t="inlineStr">
        <is>
          <t>OS02654</t>
        </is>
      </c>
      <c r="B241" t="inlineStr">
        <is>
          <t>Q2 2026</t>
        </is>
      </c>
      <c r="C241" t="inlineStr">
        <is>
          <t>PU07</t>
        </is>
      </c>
      <c r="D241" t="inlineStr">
        <is>
          <t>New patient</t>
        </is>
      </c>
      <c r="E241" t="inlineStr">
        <is>
          <t>THERAPY_H</t>
        </is>
      </c>
      <c r="F241" s="10" t="n">
        <v>46156</v>
      </c>
      <c r="G241" s="10" t="n">
        <v>46182</v>
      </c>
      <c r="H241" t="n">
        <v>19</v>
      </c>
      <c r="I241">
        <f>NETWORKDAYS(F241,G241)</f>
        <v/>
      </c>
      <c r="J241">
        <f>IF(H241=I241,"OK","CHECK")</f>
        <v/>
      </c>
    </row>
    <row r="242">
      <c r="A242" t="inlineStr">
        <is>
          <t>OS02655</t>
        </is>
      </c>
      <c r="B242" t="inlineStr">
        <is>
          <t>Q2 2026</t>
        </is>
      </c>
      <c r="C242" t="inlineStr">
        <is>
          <t>PU08</t>
        </is>
      </c>
      <c r="D242" t="inlineStr">
        <is>
          <t>New patient</t>
        </is>
      </c>
      <c r="E242" t="inlineStr">
        <is>
          <t>THERAPY_E</t>
        </is>
      </c>
      <c r="F242" s="10" t="n">
        <v>46157</v>
      </c>
      <c r="G242" s="10" t="n">
        <v>46195</v>
      </c>
      <c r="H242" t="n">
        <v>27</v>
      </c>
      <c r="I242">
        <f>NETWORKDAYS(F242,G242)</f>
        <v/>
      </c>
      <c r="J242">
        <f>IF(H242=I242,"OK","CHECK")</f>
        <v/>
      </c>
    </row>
    <row r="243">
      <c r="A243" t="inlineStr">
        <is>
          <t>OS02656</t>
        </is>
      </c>
      <c r="B243" t="inlineStr">
        <is>
          <t>Q2 2026</t>
        </is>
      </c>
      <c r="C243" t="inlineStr">
        <is>
          <t>PU01</t>
        </is>
      </c>
      <c r="D243" t="inlineStr">
        <is>
          <t>New patient</t>
        </is>
      </c>
      <c r="E243" t="inlineStr">
        <is>
          <t>THERAPY_I</t>
        </is>
      </c>
      <c r="F243" s="10" t="n">
        <v>46157</v>
      </c>
      <c r="G243" s="10" t="n">
        <v>46198</v>
      </c>
      <c r="H243" t="n">
        <v>30</v>
      </c>
      <c r="I243">
        <f>NETWORKDAYS(F243,G243)</f>
        <v/>
      </c>
      <c r="J243">
        <f>IF(H243=I243,"OK","CHECK")</f>
        <v/>
      </c>
    </row>
    <row r="244">
      <c r="A244" t="inlineStr">
        <is>
          <t>OS02658</t>
        </is>
      </c>
      <c r="B244" t="inlineStr">
        <is>
          <t>Q2 2026</t>
        </is>
      </c>
      <c r="C244" t="inlineStr">
        <is>
          <t>PU01</t>
        </is>
      </c>
      <c r="D244" t="inlineStr">
        <is>
          <t>New patient</t>
        </is>
      </c>
      <c r="E244" t="inlineStr">
        <is>
          <t>THERAPY_I</t>
        </is>
      </c>
      <c r="F244" s="10" t="n">
        <v>46157</v>
      </c>
      <c r="G244" s="10" t="n">
        <v>46183</v>
      </c>
      <c r="H244" t="n">
        <v>19</v>
      </c>
      <c r="I244">
        <f>NETWORKDAYS(F244,G244)</f>
        <v/>
      </c>
      <c r="J244">
        <f>IF(H244=I244,"OK","CHECK")</f>
        <v/>
      </c>
    </row>
    <row r="245">
      <c r="A245" t="inlineStr">
        <is>
          <t>OS02660</t>
        </is>
      </c>
      <c r="B245" t="inlineStr">
        <is>
          <t>Q2 2026</t>
        </is>
      </c>
      <c r="C245" t="inlineStr">
        <is>
          <t>PU99</t>
        </is>
      </c>
      <c r="D245" t="inlineStr">
        <is>
          <t>New patient</t>
        </is>
      </c>
      <c r="E245" t="inlineStr">
        <is>
          <t>THERAPY_B</t>
        </is>
      </c>
      <c r="F245" s="10" t="n">
        <v>46157</v>
      </c>
      <c r="G245" s="10" t="n">
        <v>46188</v>
      </c>
      <c r="H245" t="n">
        <v>22</v>
      </c>
      <c r="I245">
        <f>NETWORKDAYS(F245,G245)</f>
        <v/>
      </c>
      <c r="J245">
        <f>IF(H245=I245,"OK","CHECK")</f>
        <v/>
      </c>
    </row>
    <row r="246">
      <c r="A246" t="inlineStr">
        <is>
          <t>OS02662</t>
        </is>
      </c>
      <c r="B246" t="inlineStr">
        <is>
          <t>Q2 2026</t>
        </is>
      </c>
      <c r="C246" t="inlineStr">
        <is>
          <t>PU99</t>
        </is>
      </c>
      <c r="D246" t="inlineStr">
        <is>
          <t>New patient</t>
        </is>
      </c>
      <c r="E246" t="inlineStr">
        <is>
          <t>THERAPY_A</t>
        </is>
      </c>
      <c r="F246" s="10" t="n">
        <v>46160</v>
      </c>
      <c r="G246" s="10" t="n">
        <v>46197</v>
      </c>
      <c r="H246" t="n">
        <v>28</v>
      </c>
      <c r="I246">
        <f>NETWORKDAYS(F246,G246)</f>
        <v/>
      </c>
      <c r="J246">
        <f>IF(H246=I246,"OK","CHECK")</f>
        <v/>
      </c>
    </row>
    <row r="247">
      <c r="A247" t="inlineStr">
        <is>
          <t>OS02664</t>
        </is>
      </c>
      <c r="B247" t="inlineStr">
        <is>
          <t>Q2 2026</t>
        </is>
      </c>
      <c r="C247" t="inlineStr">
        <is>
          <t>PU07</t>
        </is>
      </c>
      <c r="D247" t="inlineStr">
        <is>
          <t>New patient</t>
        </is>
      </c>
      <c r="E247" t="inlineStr">
        <is>
          <t>THERAPY_G</t>
        </is>
      </c>
      <c r="F247" s="10" t="n">
        <v>46160</v>
      </c>
      <c r="G247" s="10" t="n">
        <v>46198</v>
      </c>
      <c r="H247" t="n">
        <v>29</v>
      </c>
      <c r="I247">
        <f>NETWORKDAYS(F247,G247)</f>
        <v/>
      </c>
      <c r="J247">
        <f>IF(H247=I247,"OK","CHECK")</f>
        <v/>
      </c>
    </row>
    <row r="248">
      <c r="A248" t="inlineStr">
        <is>
          <t>OS02670</t>
        </is>
      </c>
      <c r="B248" t="inlineStr">
        <is>
          <t>Q2 2026</t>
        </is>
      </c>
      <c r="C248" t="inlineStr">
        <is>
          <t>PU01</t>
        </is>
      </c>
      <c r="D248" t="inlineStr">
        <is>
          <t>New patient</t>
        </is>
      </c>
      <c r="E248" t="inlineStr">
        <is>
          <t>THERAPY_G</t>
        </is>
      </c>
      <c r="F248" s="10" t="n">
        <v>46161</v>
      </c>
      <c r="G248" s="10" t="n">
        <v>46181</v>
      </c>
      <c r="H248" t="n">
        <v>15</v>
      </c>
      <c r="I248">
        <f>NETWORKDAYS(F248,G248)</f>
        <v/>
      </c>
      <c r="J248">
        <f>IF(H248=I248,"OK","CHECK")</f>
        <v/>
      </c>
    </row>
    <row r="249">
      <c r="A249" t="inlineStr">
        <is>
          <t>OS02671</t>
        </is>
      </c>
      <c r="B249" t="inlineStr">
        <is>
          <t>Q2 2026</t>
        </is>
      </c>
      <c r="C249" t="inlineStr">
        <is>
          <t>PU06</t>
        </is>
      </c>
      <c r="D249" t="inlineStr">
        <is>
          <t>New patient</t>
        </is>
      </c>
      <c r="E249" t="inlineStr">
        <is>
          <t>THERAPY_G</t>
        </is>
      </c>
      <c r="F249" s="10" t="n">
        <v>46161</v>
      </c>
      <c r="G249" s="10" t="n">
        <v>46178</v>
      </c>
      <c r="H249" t="n">
        <v>14</v>
      </c>
      <c r="I249">
        <f>NETWORKDAYS(F249,G249)</f>
        <v/>
      </c>
      <c r="J249">
        <f>IF(H249=I249,"OK","CHECK")</f>
        <v/>
      </c>
    </row>
    <row r="250">
      <c r="A250" t="inlineStr">
        <is>
          <t>OS02675</t>
        </is>
      </c>
      <c r="B250" t="inlineStr">
        <is>
          <t>Q2 2026</t>
        </is>
      </c>
      <c r="C250" t="inlineStr">
        <is>
          <t>PU01</t>
        </is>
      </c>
      <c r="D250" t="inlineStr">
        <is>
          <t>New patient</t>
        </is>
      </c>
      <c r="E250" t="inlineStr">
        <is>
          <t>THERAPY_J</t>
        </is>
      </c>
      <c r="F250" s="10" t="n">
        <v>46161</v>
      </c>
      <c r="G250" s="10" t="n">
        <v>46192</v>
      </c>
      <c r="H250" t="n">
        <v>24</v>
      </c>
      <c r="I250">
        <f>NETWORKDAYS(F250,G250)</f>
        <v/>
      </c>
      <c r="J250">
        <f>IF(H250=I250,"OK","CHECK")</f>
        <v/>
      </c>
    </row>
    <row r="251">
      <c r="A251" t="inlineStr">
        <is>
          <t>OS02677</t>
        </is>
      </c>
      <c r="B251" t="inlineStr">
        <is>
          <t>Q2 2026</t>
        </is>
      </c>
      <c r="C251" t="inlineStr">
        <is>
          <t>PU01</t>
        </is>
      </c>
      <c r="D251" t="inlineStr">
        <is>
          <t>New patient</t>
        </is>
      </c>
      <c r="E251" t="inlineStr">
        <is>
          <t>THERAPY_F</t>
        </is>
      </c>
      <c r="F251" s="10" t="n">
        <v>46161</v>
      </c>
      <c r="G251" s="10" t="n">
        <v>46191</v>
      </c>
      <c r="H251" t="n">
        <v>23</v>
      </c>
      <c r="I251">
        <f>NETWORKDAYS(F251,G251)</f>
        <v/>
      </c>
      <c r="J251">
        <f>IF(H251=I251,"OK","CHECK")</f>
        <v/>
      </c>
    </row>
    <row r="252">
      <c r="A252" t="inlineStr">
        <is>
          <t>OS02678</t>
        </is>
      </c>
      <c r="B252" t="inlineStr">
        <is>
          <t>Q2 2026</t>
        </is>
      </c>
      <c r="C252" t="inlineStr">
        <is>
          <t>PU01</t>
        </is>
      </c>
      <c r="D252" t="inlineStr">
        <is>
          <t>New patient</t>
        </is>
      </c>
      <c r="E252" t="inlineStr">
        <is>
          <t>THERAPY_I</t>
        </is>
      </c>
      <c r="F252" s="10" t="n">
        <v>46161</v>
      </c>
      <c r="G252" s="10" t="n">
        <v>46185</v>
      </c>
      <c r="H252" t="n">
        <v>19</v>
      </c>
      <c r="I252">
        <f>NETWORKDAYS(F252,G252)</f>
        <v/>
      </c>
      <c r="J252">
        <f>IF(H252=I252,"OK","CHECK")</f>
        <v/>
      </c>
    </row>
    <row r="253">
      <c r="A253" t="inlineStr">
        <is>
          <t>OS02680</t>
        </is>
      </c>
      <c r="B253" t="inlineStr">
        <is>
          <t>Q2 2026</t>
        </is>
      </c>
      <c r="C253" t="inlineStr">
        <is>
          <t>PU10</t>
        </is>
      </c>
      <c r="D253" t="inlineStr">
        <is>
          <t>New patient</t>
        </is>
      </c>
      <c r="E253" t="inlineStr">
        <is>
          <t>THERAPY_H</t>
        </is>
      </c>
      <c r="F253" s="10" t="n">
        <v>46162</v>
      </c>
      <c r="G253" s="10" t="n">
        <v>46189</v>
      </c>
      <c r="H253" t="n">
        <v>20</v>
      </c>
      <c r="I253">
        <f>NETWORKDAYS(F253,G253)</f>
        <v/>
      </c>
      <c r="J253">
        <f>IF(H253=I253,"OK","CHECK")</f>
        <v/>
      </c>
    </row>
    <row r="254">
      <c r="A254" t="inlineStr">
        <is>
          <t>OS02681</t>
        </is>
      </c>
      <c r="B254" t="inlineStr">
        <is>
          <t>Q2 2026</t>
        </is>
      </c>
      <c r="C254" t="inlineStr">
        <is>
          <t>PU04</t>
        </is>
      </c>
      <c r="D254" t="inlineStr">
        <is>
          <t>New patient</t>
        </is>
      </c>
      <c r="E254" t="inlineStr">
        <is>
          <t>THERAPY_F</t>
        </is>
      </c>
      <c r="F254" s="10" t="n">
        <v>46162</v>
      </c>
      <c r="G254" s="10" t="n">
        <v>46203</v>
      </c>
      <c r="H254" t="n">
        <v>30</v>
      </c>
      <c r="I254">
        <f>NETWORKDAYS(F254,G254)</f>
        <v/>
      </c>
      <c r="J254">
        <f>IF(H254=I254,"OK","CHECK")</f>
        <v/>
      </c>
    </row>
    <row r="255">
      <c r="A255" t="inlineStr">
        <is>
          <t>OS02683</t>
        </is>
      </c>
      <c r="B255" t="inlineStr">
        <is>
          <t>Q2 2026</t>
        </is>
      </c>
      <c r="C255" t="inlineStr">
        <is>
          <t>PU02</t>
        </is>
      </c>
      <c r="D255" t="inlineStr">
        <is>
          <t>New patient</t>
        </is>
      </c>
      <c r="E255" t="inlineStr">
        <is>
          <t>THERAPY_F</t>
        </is>
      </c>
      <c r="F255" s="10" t="n">
        <v>46162</v>
      </c>
      <c r="G255" s="10" t="n">
        <v>46189</v>
      </c>
      <c r="H255" t="n">
        <v>20</v>
      </c>
      <c r="I255">
        <f>NETWORKDAYS(F255,G255)</f>
        <v/>
      </c>
      <c r="J255">
        <f>IF(H255=I255,"OK","CHECK")</f>
        <v/>
      </c>
    </row>
    <row r="256">
      <c r="A256" t="inlineStr">
        <is>
          <t>OS02685</t>
        </is>
      </c>
      <c r="B256" t="inlineStr">
        <is>
          <t>Q2 2026</t>
        </is>
      </c>
      <c r="C256" t="inlineStr">
        <is>
          <t>PU99</t>
        </is>
      </c>
      <c r="D256" t="inlineStr">
        <is>
          <t>New patient</t>
        </is>
      </c>
      <c r="E256" t="inlineStr">
        <is>
          <t>THERAPY_A</t>
        </is>
      </c>
      <c r="F256" s="10" t="n">
        <v>46162</v>
      </c>
      <c r="G256" s="10" t="n">
        <v>46188</v>
      </c>
      <c r="H256" t="n">
        <v>19</v>
      </c>
      <c r="I256">
        <f>NETWORKDAYS(F256,G256)</f>
        <v/>
      </c>
      <c r="J256">
        <f>IF(H256=I256,"OK","CHECK")</f>
        <v/>
      </c>
    </row>
    <row r="257">
      <c r="A257" t="inlineStr">
        <is>
          <t>OS02692</t>
        </is>
      </c>
      <c r="B257" t="inlineStr">
        <is>
          <t>Q2 2026</t>
        </is>
      </c>
      <c r="C257" t="inlineStr">
        <is>
          <t>PU01</t>
        </is>
      </c>
      <c r="D257" t="inlineStr">
        <is>
          <t>New patient</t>
        </is>
      </c>
      <c r="E257" t="inlineStr">
        <is>
          <t>THERAPY_A</t>
        </is>
      </c>
      <c r="F257" s="10" t="n">
        <v>46163</v>
      </c>
      <c r="G257" s="10" t="n">
        <v>46196</v>
      </c>
      <c r="H257" t="n">
        <v>24</v>
      </c>
      <c r="I257">
        <f>NETWORKDAYS(F257,G257)</f>
        <v/>
      </c>
      <c r="J257">
        <f>IF(H257=I257,"OK","CHECK")</f>
        <v/>
      </c>
    </row>
    <row r="258">
      <c r="A258" t="inlineStr">
        <is>
          <t>OS02695</t>
        </is>
      </c>
      <c r="B258" t="inlineStr">
        <is>
          <t>Q2 2026</t>
        </is>
      </c>
      <c r="C258" t="inlineStr">
        <is>
          <t>PU02</t>
        </is>
      </c>
      <c r="D258" t="inlineStr">
        <is>
          <t>New patient</t>
        </is>
      </c>
      <c r="E258" t="inlineStr">
        <is>
          <t>THERAPY_G</t>
        </is>
      </c>
      <c r="F258" s="10" t="n">
        <v>46164</v>
      </c>
      <c r="G258" s="10" t="n">
        <v>46199</v>
      </c>
      <c r="H258" t="n">
        <v>26</v>
      </c>
      <c r="I258">
        <f>NETWORKDAYS(F258,G258)</f>
        <v/>
      </c>
      <c r="J258">
        <f>IF(H258=I258,"OK","CHECK")</f>
        <v/>
      </c>
    </row>
    <row r="259">
      <c r="A259" t="inlineStr">
        <is>
          <t>OS02697</t>
        </is>
      </c>
      <c r="B259" t="inlineStr">
        <is>
          <t>Q2 2026</t>
        </is>
      </c>
      <c r="C259" t="inlineStr">
        <is>
          <t>PU02</t>
        </is>
      </c>
      <c r="D259" t="inlineStr">
        <is>
          <t>New patient</t>
        </is>
      </c>
      <c r="E259" t="inlineStr">
        <is>
          <t>THERAPY_I</t>
        </is>
      </c>
      <c r="F259" s="10" t="n">
        <v>46164</v>
      </c>
      <c r="G259" s="10" t="n">
        <v>46183</v>
      </c>
      <c r="H259" t="n">
        <v>14</v>
      </c>
      <c r="I259">
        <f>NETWORKDAYS(F259,G259)</f>
        <v/>
      </c>
      <c r="J259">
        <f>IF(H259=I259,"OK","CHECK")</f>
        <v/>
      </c>
    </row>
    <row r="260">
      <c r="A260" t="inlineStr">
        <is>
          <t>OS02698</t>
        </is>
      </c>
      <c r="B260" t="inlineStr">
        <is>
          <t>Q2 2026</t>
        </is>
      </c>
      <c r="C260" t="inlineStr">
        <is>
          <t>PU07</t>
        </is>
      </c>
      <c r="D260" t="inlineStr">
        <is>
          <t>New patient</t>
        </is>
      </c>
      <c r="E260" t="inlineStr">
        <is>
          <t>THERAPY_B</t>
        </is>
      </c>
      <c r="F260" s="10" t="n">
        <v>46164</v>
      </c>
      <c r="G260" s="10" t="n">
        <v>46189</v>
      </c>
      <c r="H260" t="n">
        <v>18</v>
      </c>
      <c r="I260">
        <f>NETWORKDAYS(F260,G260)</f>
        <v/>
      </c>
      <c r="J260">
        <f>IF(H260=I260,"OK","CHECK")</f>
        <v/>
      </c>
    </row>
    <row r="261">
      <c r="A261" t="inlineStr">
        <is>
          <t>OS02699</t>
        </is>
      </c>
      <c r="B261" t="inlineStr">
        <is>
          <t>Q2 2026</t>
        </is>
      </c>
      <c r="C261" t="inlineStr">
        <is>
          <t>PU03</t>
        </is>
      </c>
      <c r="D261" t="inlineStr">
        <is>
          <t>New patient</t>
        </is>
      </c>
      <c r="E261" t="inlineStr">
        <is>
          <t>THERAPY_A</t>
        </is>
      </c>
      <c r="F261" s="10" t="n">
        <v>46164</v>
      </c>
      <c r="G261" s="10" t="n">
        <v>46203</v>
      </c>
      <c r="H261" t="n">
        <v>28</v>
      </c>
      <c r="I261">
        <f>NETWORKDAYS(F261,G261)</f>
        <v/>
      </c>
      <c r="J261">
        <f>IF(H261=I261,"OK","CHECK")</f>
        <v/>
      </c>
    </row>
    <row r="262">
      <c r="A262" t="inlineStr">
        <is>
          <t>OS02700</t>
        </is>
      </c>
      <c r="B262" t="inlineStr">
        <is>
          <t>Q2 2026</t>
        </is>
      </c>
      <c r="C262" t="inlineStr">
        <is>
          <t>PU05</t>
        </is>
      </c>
      <c r="D262" t="inlineStr">
        <is>
          <t>New patient</t>
        </is>
      </c>
      <c r="E262" t="inlineStr">
        <is>
          <t>THERAPY_E</t>
        </is>
      </c>
      <c r="F262" s="10" t="n">
        <v>46168</v>
      </c>
      <c r="G262" s="10" t="n">
        <v>46183</v>
      </c>
      <c r="H262" t="n">
        <v>12</v>
      </c>
      <c r="I262">
        <f>NETWORKDAYS(F262,G262)</f>
        <v/>
      </c>
      <c r="J262">
        <f>IF(H262=I262,"OK","CHECK")</f>
        <v/>
      </c>
    </row>
    <row r="263">
      <c r="A263" t="inlineStr">
        <is>
          <t>OS02703</t>
        </is>
      </c>
      <c r="B263" t="inlineStr">
        <is>
          <t>Q2 2026</t>
        </is>
      </c>
      <c r="C263" t="inlineStr">
        <is>
          <t>PU99</t>
        </is>
      </c>
      <c r="D263" t="inlineStr">
        <is>
          <t>New patient</t>
        </is>
      </c>
      <c r="E263" t="inlineStr">
        <is>
          <t>THERAPY_A</t>
        </is>
      </c>
      <c r="F263" s="10" t="n">
        <v>46168</v>
      </c>
      <c r="G263" s="10" t="n">
        <v>46192</v>
      </c>
      <c r="H263" t="n">
        <v>19</v>
      </c>
      <c r="I263">
        <f>NETWORKDAYS(F263,G263)</f>
        <v/>
      </c>
      <c r="J263">
        <f>IF(H263=I263,"OK","CHECK")</f>
        <v/>
      </c>
    </row>
    <row r="264">
      <c r="A264" t="inlineStr">
        <is>
          <t>OS02706</t>
        </is>
      </c>
      <c r="B264" t="inlineStr">
        <is>
          <t>Q2 2026</t>
        </is>
      </c>
      <c r="C264" t="inlineStr">
        <is>
          <t>PU02</t>
        </is>
      </c>
      <c r="D264" t="inlineStr">
        <is>
          <t>New patient</t>
        </is>
      </c>
      <c r="E264" t="inlineStr">
        <is>
          <t>THERAPY_G</t>
        </is>
      </c>
      <c r="F264" s="10" t="n">
        <v>46168</v>
      </c>
      <c r="G264" s="10" t="n">
        <v>46198</v>
      </c>
      <c r="H264" t="n">
        <v>23</v>
      </c>
      <c r="I264">
        <f>NETWORKDAYS(F264,G264)</f>
        <v/>
      </c>
      <c r="J264">
        <f>IF(H264=I264,"OK","CHECK")</f>
        <v/>
      </c>
    </row>
    <row r="265">
      <c r="A265" t="inlineStr">
        <is>
          <t>OS02707</t>
        </is>
      </c>
      <c r="B265" t="inlineStr">
        <is>
          <t>Q2 2026</t>
        </is>
      </c>
      <c r="C265" t="inlineStr">
        <is>
          <t>PU03</t>
        </is>
      </c>
      <c r="D265" t="inlineStr">
        <is>
          <t>New patient</t>
        </is>
      </c>
      <c r="E265" t="inlineStr">
        <is>
          <t>THERAPY_H</t>
        </is>
      </c>
      <c r="F265" s="10" t="n">
        <v>46169</v>
      </c>
      <c r="G265" s="10" t="n">
        <v>46182</v>
      </c>
      <c r="H265" t="n">
        <v>10</v>
      </c>
      <c r="I265">
        <f>NETWORKDAYS(F265,G265)</f>
        <v/>
      </c>
      <c r="J265">
        <f>IF(H265=I265,"OK","CHECK")</f>
        <v/>
      </c>
    </row>
    <row r="266">
      <c r="A266" t="inlineStr">
        <is>
          <t>OS02709</t>
        </is>
      </c>
      <c r="B266" t="inlineStr">
        <is>
          <t>Q2 2026</t>
        </is>
      </c>
      <c r="C266" t="inlineStr">
        <is>
          <t>PU99</t>
        </is>
      </c>
      <c r="D266" t="inlineStr">
        <is>
          <t>New patient</t>
        </is>
      </c>
      <c r="E266" t="inlineStr">
        <is>
          <t>THERAPY_A</t>
        </is>
      </c>
      <c r="F266" s="10" t="n">
        <v>46169</v>
      </c>
      <c r="G266" s="10" t="n">
        <v>46192</v>
      </c>
      <c r="H266" t="n">
        <v>18</v>
      </c>
      <c r="I266">
        <f>NETWORKDAYS(F266,G266)</f>
        <v/>
      </c>
      <c r="J266">
        <f>IF(H266=I266,"OK","CHECK")</f>
        <v/>
      </c>
    </row>
    <row r="267">
      <c r="A267" t="inlineStr">
        <is>
          <t>OS02710</t>
        </is>
      </c>
      <c r="B267" t="inlineStr">
        <is>
          <t>Q3 2026</t>
        </is>
      </c>
      <c r="C267" t="inlineStr">
        <is>
          <t>PU04</t>
        </is>
      </c>
      <c r="D267" t="inlineStr">
        <is>
          <t>New therapy</t>
        </is>
      </c>
      <c r="E267" t="inlineStr">
        <is>
          <t>THERAPY_D</t>
        </is>
      </c>
      <c r="F267" s="10" t="n">
        <v>46169</v>
      </c>
      <c r="G267" s="10" t="n">
        <v>46233</v>
      </c>
      <c r="H267" t="n">
        <v>47</v>
      </c>
      <c r="I267">
        <f>NETWORKDAYS(F267,G267)</f>
        <v/>
      </c>
      <c r="J267">
        <f>IF(H267=I267,"OK","CHECK")</f>
        <v/>
      </c>
    </row>
    <row r="268">
      <c r="A268" t="inlineStr">
        <is>
          <t>OS02713</t>
        </is>
      </c>
      <c r="B268" t="inlineStr">
        <is>
          <t>Q2 2026</t>
        </is>
      </c>
      <c r="C268" t="inlineStr">
        <is>
          <t>PU03</t>
        </is>
      </c>
      <c r="D268" t="inlineStr">
        <is>
          <t>New patient</t>
        </is>
      </c>
      <c r="E268" t="inlineStr">
        <is>
          <t>THERAPY_A</t>
        </is>
      </c>
      <c r="F268" s="10" t="n">
        <v>46169</v>
      </c>
      <c r="G268" s="10" t="n">
        <v>46199</v>
      </c>
      <c r="H268" t="n">
        <v>23</v>
      </c>
      <c r="I268">
        <f>NETWORKDAYS(F268,G268)</f>
        <v/>
      </c>
      <c r="J268">
        <f>IF(H268=I268,"OK","CHECK")</f>
        <v/>
      </c>
    </row>
    <row r="269">
      <c r="A269" t="inlineStr">
        <is>
          <t>OS02714</t>
        </is>
      </c>
      <c r="B269" t="inlineStr">
        <is>
          <t>Q3 2026</t>
        </is>
      </c>
      <c r="C269" t="inlineStr">
        <is>
          <t>PU07</t>
        </is>
      </c>
      <c r="D269" t="inlineStr">
        <is>
          <t>New therapy</t>
        </is>
      </c>
      <c r="E269" t="inlineStr">
        <is>
          <t>THERAPY_E</t>
        </is>
      </c>
      <c r="F269" s="10" t="n">
        <v>46169</v>
      </c>
      <c r="G269" s="10" t="n">
        <v>46212</v>
      </c>
      <c r="H269" t="n">
        <v>32</v>
      </c>
      <c r="I269">
        <f>NETWORKDAYS(F269,G269)</f>
        <v/>
      </c>
      <c r="J269">
        <f>IF(H269=I269,"OK","CHECK")</f>
        <v/>
      </c>
    </row>
    <row r="270">
      <c r="A270" t="inlineStr">
        <is>
          <t>OS02715</t>
        </is>
      </c>
      <c r="B270" t="inlineStr">
        <is>
          <t>Q3 2026</t>
        </is>
      </c>
      <c r="C270" t="inlineStr">
        <is>
          <t>PU03</t>
        </is>
      </c>
      <c r="D270" t="inlineStr">
        <is>
          <t>New patient</t>
        </is>
      </c>
      <c r="E270" t="inlineStr">
        <is>
          <t>THERAPY_E</t>
        </is>
      </c>
      <c r="F270" s="10" t="n">
        <v>46169</v>
      </c>
      <c r="G270" s="10" t="n">
        <v>46216</v>
      </c>
      <c r="H270" t="n">
        <v>34</v>
      </c>
      <c r="I270">
        <f>NETWORKDAYS(F270,G270)</f>
        <v/>
      </c>
      <c r="J270">
        <f>IF(H270=I270,"OK","CHECK")</f>
        <v/>
      </c>
    </row>
    <row r="271">
      <c r="A271" t="inlineStr">
        <is>
          <t>OS02716</t>
        </is>
      </c>
      <c r="B271" t="inlineStr">
        <is>
          <t>Q2 2026</t>
        </is>
      </c>
      <c r="C271" t="inlineStr">
        <is>
          <t>PU08</t>
        </is>
      </c>
      <c r="D271" t="inlineStr">
        <is>
          <t>New patient</t>
        </is>
      </c>
      <c r="E271" t="inlineStr">
        <is>
          <t>THERAPY_B</t>
        </is>
      </c>
      <c r="F271" s="10" t="n">
        <v>46169</v>
      </c>
      <c r="G271" s="10" t="n">
        <v>46196</v>
      </c>
      <c r="H271" t="n">
        <v>20</v>
      </c>
      <c r="I271">
        <f>NETWORKDAYS(F271,G271)</f>
        <v/>
      </c>
      <c r="J271">
        <f>IF(H271=I271,"OK","CHECK")</f>
        <v/>
      </c>
    </row>
    <row r="272">
      <c r="A272" t="inlineStr">
        <is>
          <t>OS02718</t>
        </is>
      </c>
      <c r="B272" t="inlineStr">
        <is>
          <t>Q2 2026</t>
        </is>
      </c>
      <c r="C272" t="inlineStr">
        <is>
          <t>PU99</t>
        </is>
      </c>
      <c r="D272" t="inlineStr">
        <is>
          <t>New patient</t>
        </is>
      </c>
      <c r="E272" t="inlineStr">
        <is>
          <t>THERAPY_B</t>
        </is>
      </c>
      <c r="F272" s="10" t="n">
        <v>46169</v>
      </c>
      <c r="G272" s="10" t="n">
        <v>46188</v>
      </c>
      <c r="H272" t="n">
        <v>14</v>
      </c>
      <c r="I272">
        <f>NETWORKDAYS(F272,G272)</f>
        <v/>
      </c>
      <c r="J272">
        <f>IF(H272=I272,"OK","CHECK")</f>
        <v/>
      </c>
    </row>
    <row r="273">
      <c r="A273" t="inlineStr">
        <is>
          <t>OS02720</t>
        </is>
      </c>
      <c r="B273" t="inlineStr">
        <is>
          <t>Q2 2026</t>
        </is>
      </c>
      <c r="C273" t="inlineStr">
        <is>
          <t>PU01</t>
        </is>
      </c>
      <c r="D273" t="inlineStr">
        <is>
          <t>New patient</t>
        </is>
      </c>
      <c r="E273" t="inlineStr">
        <is>
          <t>THERAPY_G</t>
        </is>
      </c>
      <c r="F273" s="10" t="n">
        <v>46205</v>
      </c>
      <c r="G273" s="10" t="n">
        <v>46203</v>
      </c>
      <c r="H273" t="n">
        <v>-3</v>
      </c>
      <c r="I273">
        <f>NETWORKDAYS(F273,G273)</f>
        <v/>
      </c>
      <c r="J273">
        <f>IF(H273=I273,"OK","CHECK")</f>
        <v/>
      </c>
    </row>
    <row r="274">
      <c r="A274" t="inlineStr">
        <is>
          <t>OS02721</t>
        </is>
      </c>
      <c r="B274" t="inlineStr">
        <is>
          <t>Q2 2026</t>
        </is>
      </c>
      <c r="C274" t="inlineStr">
        <is>
          <t>PU02</t>
        </is>
      </c>
      <c r="D274" t="inlineStr">
        <is>
          <t>New patient</t>
        </is>
      </c>
      <c r="E274" t="inlineStr">
        <is>
          <t>THERAPY_F</t>
        </is>
      </c>
      <c r="F274" s="10" t="n">
        <v>46170</v>
      </c>
      <c r="G274" s="10" t="n">
        <v>46203</v>
      </c>
      <c r="H274" t="n">
        <v>24</v>
      </c>
      <c r="I274">
        <f>NETWORKDAYS(F274,G274)</f>
        <v/>
      </c>
      <c r="J274">
        <f>IF(H274=I274,"OK","CHECK")</f>
        <v/>
      </c>
    </row>
    <row r="275">
      <c r="A275" t="inlineStr">
        <is>
          <t>OS02723</t>
        </is>
      </c>
      <c r="B275" t="inlineStr">
        <is>
          <t>Q2 2026</t>
        </is>
      </c>
      <c r="C275" t="inlineStr">
        <is>
          <t>PU02</t>
        </is>
      </c>
      <c r="D275" t="inlineStr">
        <is>
          <t>New patient</t>
        </is>
      </c>
      <c r="E275" t="inlineStr">
        <is>
          <t>THERAPY_B</t>
        </is>
      </c>
      <c r="F275" s="10" t="n">
        <v>46170</v>
      </c>
      <c r="G275" s="10" t="n">
        <v>46198</v>
      </c>
      <c r="H275" t="n">
        <v>21</v>
      </c>
      <c r="I275">
        <f>NETWORKDAYS(F275,G275)</f>
        <v/>
      </c>
      <c r="J275">
        <f>IF(H275=I275,"OK","CHECK")</f>
        <v/>
      </c>
    </row>
    <row r="276">
      <c r="A276" t="inlineStr">
        <is>
          <t>OS02724</t>
        </is>
      </c>
      <c r="B276" t="inlineStr">
        <is>
          <t>Q2 2026</t>
        </is>
      </c>
      <c r="C276" t="inlineStr">
        <is>
          <t>PU09</t>
        </is>
      </c>
      <c r="D276" t="inlineStr">
        <is>
          <t>New patient</t>
        </is>
      </c>
      <c r="E276" t="inlineStr">
        <is>
          <t>THERAPY_B</t>
        </is>
      </c>
      <c r="F276" s="10" t="n">
        <v>46170</v>
      </c>
      <c r="G276" s="10" t="n">
        <v>46198</v>
      </c>
      <c r="H276" t="n">
        <v>21</v>
      </c>
      <c r="I276">
        <f>NETWORKDAYS(F276,G276)</f>
        <v/>
      </c>
      <c r="J276">
        <f>IF(H276=I276,"OK","CHECK")</f>
        <v/>
      </c>
    </row>
    <row r="277">
      <c r="A277" t="inlineStr">
        <is>
          <t>OS02725</t>
        </is>
      </c>
      <c r="B277" t="inlineStr">
        <is>
          <t>Q3 2026</t>
        </is>
      </c>
      <c r="C277" t="inlineStr">
        <is>
          <t>PU08</t>
        </is>
      </c>
      <c r="D277" t="inlineStr">
        <is>
          <t>New patient</t>
        </is>
      </c>
      <c r="E277" t="inlineStr">
        <is>
          <t>THERAPY_H</t>
        </is>
      </c>
      <c r="F277" s="10" t="n">
        <v>46170</v>
      </c>
      <c r="G277" s="10" t="n">
        <v>46223</v>
      </c>
      <c r="H277" t="n">
        <v>38</v>
      </c>
      <c r="I277">
        <f>NETWORKDAYS(F277,G277)</f>
        <v/>
      </c>
      <c r="J277">
        <f>IF(H277=I277,"OK","CHECK")</f>
        <v/>
      </c>
    </row>
    <row r="278">
      <c r="A278" t="inlineStr">
        <is>
          <t>OS02727</t>
        </is>
      </c>
      <c r="B278" t="inlineStr">
        <is>
          <t>Q3 2026</t>
        </is>
      </c>
      <c r="C278" t="inlineStr">
        <is>
          <t>PU02</t>
        </is>
      </c>
      <c r="D278" t="inlineStr">
        <is>
          <t>New patient</t>
        </is>
      </c>
      <c r="E278" t="inlineStr">
        <is>
          <t>THERAPY_H</t>
        </is>
      </c>
      <c r="F278" s="10" t="n">
        <v>46171</v>
      </c>
      <c r="G278" s="10" t="n">
        <v>46226</v>
      </c>
      <c r="H278" t="n">
        <v>40</v>
      </c>
      <c r="I278">
        <f>NETWORKDAYS(F278,G278)</f>
        <v/>
      </c>
      <c r="J278">
        <f>IF(H278=I278,"OK","CHECK")</f>
        <v/>
      </c>
    </row>
    <row r="279">
      <c r="A279" t="inlineStr">
        <is>
          <t>OS02728</t>
        </is>
      </c>
      <c r="B279" t="inlineStr">
        <is>
          <t>Q2 2026</t>
        </is>
      </c>
      <c r="C279" t="inlineStr">
        <is>
          <t>PU99</t>
        </is>
      </c>
      <c r="D279" t="inlineStr">
        <is>
          <t>New patient</t>
        </is>
      </c>
      <c r="E279" t="inlineStr">
        <is>
          <t>THERAPY_B</t>
        </is>
      </c>
      <c r="F279" s="10" t="n">
        <v>46171</v>
      </c>
      <c r="G279" s="10" t="n">
        <v>46191</v>
      </c>
      <c r="H279" t="n">
        <v>15</v>
      </c>
      <c r="I279">
        <f>NETWORKDAYS(F279,G279)</f>
        <v/>
      </c>
      <c r="J279">
        <f>IF(H279=I279,"OK","CHECK")</f>
        <v/>
      </c>
    </row>
    <row r="280">
      <c r="A280" t="inlineStr">
        <is>
          <t>OS02729</t>
        </is>
      </c>
      <c r="B280" t="inlineStr">
        <is>
          <t>Q2 2026</t>
        </is>
      </c>
      <c r="C280" t="inlineStr">
        <is>
          <t>PU99</t>
        </is>
      </c>
      <c r="D280" t="inlineStr">
        <is>
          <t>New patient</t>
        </is>
      </c>
      <c r="E280" t="inlineStr">
        <is>
          <t>THERAPY_C</t>
        </is>
      </c>
      <c r="F280" s="10" t="n">
        <v>46171</v>
      </c>
      <c r="G280" s="10" t="n">
        <v>46202</v>
      </c>
      <c r="H280" t="n">
        <v>22</v>
      </c>
      <c r="I280">
        <f>NETWORKDAYS(F280,G280)</f>
        <v/>
      </c>
      <c r="J280">
        <f>IF(H280=I280,"OK","CHECK")</f>
        <v/>
      </c>
    </row>
    <row r="281">
      <c r="A281" t="inlineStr">
        <is>
          <t>OS02734</t>
        </is>
      </c>
      <c r="B281" t="inlineStr">
        <is>
          <t>Q2 2026</t>
        </is>
      </c>
      <c r="C281" t="inlineStr">
        <is>
          <t>PU99</t>
        </is>
      </c>
      <c r="D281" t="inlineStr">
        <is>
          <t>New patient</t>
        </is>
      </c>
      <c r="E281" t="inlineStr">
        <is>
          <t>THERAPY_A</t>
        </is>
      </c>
      <c r="F281" s="10" t="n">
        <v>46171</v>
      </c>
      <c r="G281" s="10" t="n">
        <v>46202</v>
      </c>
      <c r="H281" t="n">
        <v>22</v>
      </c>
      <c r="I281">
        <f>NETWORKDAYS(F281,G281)</f>
        <v/>
      </c>
      <c r="J281">
        <f>IF(H281=I281,"OK","CHECK")</f>
        <v/>
      </c>
    </row>
    <row r="282">
      <c r="A282" t="inlineStr">
        <is>
          <t>OS02735</t>
        </is>
      </c>
      <c r="B282" t="inlineStr">
        <is>
          <t>Q2 2026</t>
        </is>
      </c>
      <c r="C282" t="inlineStr">
        <is>
          <t>PU03</t>
        </is>
      </c>
      <c r="D282" t="inlineStr">
        <is>
          <t>New patient</t>
        </is>
      </c>
      <c r="E282" t="inlineStr">
        <is>
          <t>THERAPY_B</t>
        </is>
      </c>
      <c r="F282" s="10" t="n">
        <v>46171</v>
      </c>
      <c r="G282" s="10" t="n">
        <v>46192</v>
      </c>
      <c r="H282" t="n">
        <v>16</v>
      </c>
      <c r="I282">
        <f>NETWORKDAYS(F282,G282)</f>
        <v/>
      </c>
      <c r="J282">
        <f>IF(H282=I282,"OK","CHECK")</f>
        <v/>
      </c>
    </row>
    <row r="283">
      <c r="A283" t="inlineStr">
        <is>
          <t>OS02737</t>
        </is>
      </c>
      <c r="B283" t="inlineStr">
        <is>
          <t>Q2 2026</t>
        </is>
      </c>
      <c r="C283" t="inlineStr">
        <is>
          <t>PU06</t>
        </is>
      </c>
      <c r="D283" t="inlineStr">
        <is>
          <t>New patient</t>
        </is>
      </c>
      <c r="E283" t="inlineStr">
        <is>
          <t>THERAPY_B</t>
        </is>
      </c>
      <c r="F283" s="10" t="n">
        <v>46171</v>
      </c>
      <c r="G283" s="10" t="n">
        <v>46192</v>
      </c>
      <c r="H283" t="n">
        <v>16</v>
      </c>
      <c r="I283">
        <f>NETWORKDAYS(F283,G283)</f>
        <v/>
      </c>
      <c r="J283">
        <f>IF(H283=I283,"OK","CHECK")</f>
        <v/>
      </c>
    </row>
    <row r="284">
      <c r="A284" t="inlineStr">
        <is>
          <t>OS02740</t>
        </is>
      </c>
      <c r="B284" t="inlineStr">
        <is>
          <t>Q3 2026</t>
        </is>
      </c>
      <c r="C284" t="inlineStr">
        <is>
          <t>PU06</t>
        </is>
      </c>
      <c r="D284" t="inlineStr">
        <is>
          <t>New patient</t>
        </is>
      </c>
      <c r="E284" t="inlineStr">
        <is>
          <t>THERAPY_F</t>
        </is>
      </c>
      <c r="F284" s="10" t="n">
        <v>46174</v>
      </c>
      <c r="G284" s="10" t="n">
        <v>46205</v>
      </c>
      <c r="H284" t="n">
        <v>24</v>
      </c>
      <c r="I284">
        <f>NETWORKDAYS(F284,G284)</f>
        <v/>
      </c>
      <c r="J284">
        <f>IF(H284=I284,"OK","CHECK")</f>
        <v/>
      </c>
    </row>
    <row r="285">
      <c r="A285" t="inlineStr">
        <is>
          <t>OS02741</t>
        </is>
      </c>
      <c r="B285" t="inlineStr">
        <is>
          <t>Q2 2026</t>
        </is>
      </c>
      <c r="C285" t="inlineStr">
        <is>
          <t>PU03</t>
        </is>
      </c>
      <c r="D285" t="inlineStr">
        <is>
          <t>New patient</t>
        </is>
      </c>
      <c r="E285" t="inlineStr">
        <is>
          <t>THERAPY_F</t>
        </is>
      </c>
      <c r="F285" s="10" t="n">
        <v>46174</v>
      </c>
      <c r="G285" s="10" t="n">
        <v>46183</v>
      </c>
      <c r="H285" t="n">
        <v>8</v>
      </c>
      <c r="I285">
        <f>NETWORKDAYS(F285,G285)</f>
        <v/>
      </c>
      <c r="J285">
        <f>IF(H285=I285,"OK","CHECK")</f>
        <v/>
      </c>
    </row>
    <row r="286">
      <c r="A286" t="inlineStr">
        <is>
          <t>OS02742</t>
        </is>
      </c>
      <c r="B286" t="inlineStr">
        <is>
          <t>Q2 2026</t>
        </is>
      </c>
      <c r="C286" t="inlineStr">
        <is>
          <t>PU01</t>
        </is>
      </c>
      <c r="D286" t="inlineStr">
        <is>
          <t>New patient</t>
        </is>
      </c>
      <c r="E286" t="inlineStr">
        <is>
          <t>THERAPY_B</t>
        </is>
      </c>
      <c r="F286" s="10" t="n">
        <v>46174</v>
      </c>
      <c r="G286" s="10" t="n">
        <v>46202</v>
      </c>
      <c r="H286" t="n">
        <v>21</v>
      </c>
      <c r="I286">
        <f>NETWORKDAYS(F286,G286)</f>
        <v/>
      </c>
      <c r="J286">
        <f>IF(H286=I286,"OK","CHECK")</f>
        <v/>
      </c>
    </row>
    <row r="287">
      <c r="A287" t="inlineStr">
        <is>
          <t>OS02743</t>
        </is>
      </c>
      <c r="B287" t="inlineStr">
        <is>
          <t>Q3 2026</t>
        </is>
      </c>
      <c r="C287" t="inlineStr">
        <is>
          <t>PU09</t>
        </is>
      </c>
      <c r="D287" t="inlineStr">
        <is>
          <t>New patient</t>
        </is>
      </c>
      <c r="E287" t="inlineStr">
        <is>
          <t>THERAPY_E</t>
        </is>
      </c>
      <c r="F287" s="10" t="n">
        <v>46174</v>
      </c>
      <c r="G287" s="10" t="n">
        <v>46219</v>
      </c>
      <c r="H287" t="n">
        <v>34</v>
      </c>
      <c r="I287">
        <f>NETWORKDAYS(F287,G287)</f>
        <v/>
      </c>
      <c r="J287">
        <f>IF(H287=I287,"OK","CHECK")</f>
        <v/>
      </c>
    </row>
    <row r="288">
      <c r="A288" t="inlineStr">
        <is>
          <t>OS02745</t>
        </is>
      </c>
      <c r="B288" t="inlineStr">
        <is>
          <t>Q2 2026</t>
        </is>
      </c>
      <c r="C288" t="inlineStr">
        <is>
          <t>PU02</t>
        </is>
      </c>
      <c r="D288" t="inlineStr">
        <is>
          <t>New patient</t>
        </is>
      </c>
      <c r="E288" t="inlineStr">
        <is>
          <t>THERAPY_E</t>
        </is>
      </c>
      <c r="F288" s="10" t="n">
        <v>46174</v>
      </c>
      <c r="G288" s="10" t="n">
        <v>46202</v>
      </c>
      <c r="H288" t="n">
        <v>21</v>
      </c>
      <c r="I288">
        <f>NETWORKDAYS(F288,G288)</f>
        <v/>
      </c>
      <c r="J288">
        <f>IF(H288=I288,"OK","CHECK")</f>
        <v/>
      </c>
    </row>
    <row r="289">
      <c r="A289" t="inlineStr">
        <is>
          <t>OS02748</t>
        </is>
      </c>
      <c r="B289" t="inlineStr">
        <is>
          <t>Q2 2026</t>
        </is>
      </c>
      <c r="C289" t="inlineStr">
        <is>
          <t>PU01</t>
        </is>
      </c>
      <c r="D289" t="inlineStr">
        <is>
          <t>New patient</t>
        </is>
      </c>
      <c r="E289" t="inlineStr">
        <is>
          <t>THERAPY_E</t>
        </is>
      </c>
      <c r="F289" s="10" t="n">
        <v>46175</v>
      </c>
      <c r="G289" s="10" t="n">
        <v>46198</v>
      </c>
      <c r="H289" t="n">
        <v>18</v>
      </c>
      <c r="I289">
        <f>NETWORKDAYS(F289,G289)</f>
        <v/>
      </c>
      <c r="J289">
        <f>IF(H289=I289,"OK","CHECK")</f>
        <v/>
      </c>
    </row>
    <row r="290">
      <c r="A290" t="inlineStr">
        <is>
          <t>OS02750</t>
        </is>
      </c>
      <c r="B290" t="inlineStr">
        <is>
          <t>Q3 2026</t>
        </is>
      </c>
      <c r="C290" t="inlineStr">
        <is>
          <t>PU02</t>
        </is>
      </c>
      <c r="D290" t="inlineStr">
        <is>
          <t>New patient</t>
        </is>
      </c>
      <c r="E290" t="inlineStr">
        <is>
          <t>THERAPY_B</t>
        </is>
      </c>
      <c r="F290" s="10" t="n">
        <v>46175</v>
      </c>
      <c r="G290" s="10" t="n">
        <v>46211</v>
      </c>
      <c r="H290" t="n">
        <v>27</v>
      </c>
      <c r="I290">
        <f>NETWORKDAYS(F290,G290)</f>
        <v/>
      </c>
      <c r="J290">
        <f>IF(H290=I290,"OK","CHECK")</f>
        <v/>
      </c>
    </row>
    <row r="291">
      <c r="A291" t="inlineStr">
        <is>
          <t>OS02751</t>
        </is>
      </c>
      <c r="B291" t="inlineStr">
        <is>
          <t>Q2 2026</t>
        </is>
      </c>
      <c r="C291" t="inlineStr">
        <is>
          <t>PU01</t>
        </is>
      </c>
      <c r="D291" t="inlineStr">
        <is>
          <t>New therapy</t>
        </is>
      </c>
      <c r="E291" t="inlineStr">
        <is>
          <t>THERAPY_C</t>
        </is>
      </c>
      <c r="F291" s="10" t="n">
        <v>46175</v>
      </c>
      <c r="G291" s="10" t="n">
        <v>46196</v>
      </c>
      <c r="H291" t="n">
        <v>16</v>
      </c>
      <c r="I291">
        <f>NETWORKDAYS(F291,G291)</f>
        <v/>
      </c>
      <c r="J291">
        <f>IF(H291=I291,"OK","CHECK")</f>
        <v/>
      </c>
    </row>
    <row r="292">
      <c r="A292" t="inlineStr">
        <is>
          <t>OS02754</t>
        </is>
      </c>
      <c r="B292" t="inlineStr">
        <is>
          <t>Q2 2026</t>
        </is>
      </c>
      <c r="C292" t="inlineStr">
        <is>
          <t>PU99</t>
        </is>
      </c>
      <c r="D292" t="inlineStr">
        <is>
          <t>New patient</t>
        </is>
      </c>
      <c r="E292" t="inlineStr">
        <is>
          <t>THERAPY_H</t>
        </is>
      </c>
      <c r="F292" s="10" t="n">
        <v>46175</v>
      </c>
      <c r="G292" s="10" t="n">
        <v>46199</v>
      </c>
      <c r="H292" t="n">
        <v>19</v>
      </c>
      <c r="I292">
        <f>NETWORKDAYS(F292,G292)</f>
        <v/>
      </c>
      <c r="J292">
        <f>IF(H292=I292,"OK","CHECK")</f>
        <v/>
      </c>
    </row>
    <row r="293">
      <c r="A293" t="inlineStr">
        <is>
          <t>OS02756</t>
        </is>
      </c>
      <c r="B293" t="inlineStr">
        <is>
          <t>Q2 2026</t>
        </is>
      </c>
      <c r="C293" t="inlineStr">
        <is>
          <t>PU04</t>
        </is>
      </c>
      <c r="D293" t="inlineStr">
        <is>
          <t>New patient</t>
        </is>
      </c>
      <c r="E293" t="inlineStr">
        <is>
          <t>THERAPY_H</t>
        </is>
      </c>
      <c r="F293" s="10" t="n">
        <v>46176</v>
      </c>
      <c r="G293" s="10" t="n">
        <v>46192</v>
      </c>
      <c r="H293" t="n">
        <v>13</v>
      </c>
      <c r="I293">
        <f>NETWORKDAYS(F293,G293)</f>
        <v/>
      </c>
      <c r="J293">
        <f>IF(H293=I293,"OK","CHECK")</f>
        <v/>
      </c>
    </row>
    <row r="294">
      <c r="A294" t="inlineStr">
        <is>
          <t>OS02760</t>
        </is>
      </c>
      <c r="B294" t="inlineStr">
        <is>
          <t>Q3 2026</t>
        </is>
      </c>
      <c r="C294" t="inlineStr">
        <is>
          <t>PU09</t>
        </is>
      </c>
      <c r="D294" t="inlineStr">
        <is>
          <t>New patient</t>
        </is>
      </c>
      <c r="E294" t="inlineStr">
        <is>
          <t>THERAPY_D</t>
        </is>
      </c>
      <c r="F294" s="10" t="n">
        <v>46177</v>
      </c>
      <c r="G294" s="10" t="n">
        <v>46251</v>
      </c>
      <c r="H294" t="n">
        <v>53</v>
      </c>
      <c r="I294">
        <f>NETWORKDAYS(F294,G294)</f>
        <v/>
      </c>
      <c r="J294">
        <f>IF(H294=I294,"OK","CHECK")</f>
        <v/>
      </c>
    </row>
    <row r="295">
      <c r="A295" t="inlineStr">
        <is>
          <t>OS02761</t>
        </is>
      </c>
      <c r="B295" t="inlineStr">
        <is>
          <t>Q3 2026</t>
        </is>
      </c>
      <c r="C295" t="inlineStr">
        <is>
          <t>PU99</t>
        </is>
      </c>
      <c r="D295" t="inlineStr">
        <is>
          <t>New patient</t>
        </is>
      </c>
      <c r="E295" t="inlineStr">
        <is>
          <t>THERAPY_F</t>
        </is>
      </c>
      <c r="F295" s="10" t="n">
        <v>46177</v>
      </c>
      <c r="G295" s="10" t="n">
        <v>46209</v>
      </c>
      <c r="H295" t="n">
        <v>23</v>
      </c>
      <c r="I295">
        <f>NETWORKDAYS(F295,G295)</f>
        <v/>
      </c>
      <c r="J295">
        <f>IF(H295=I295,"OK","CHECK")</f>
        <v/>
      </c>
    </row>
    <row r="296">
      <c r="A296" t="inlineStr">
        <is>
          <t>OS02762</t>
        </is>
      </c>
      <c r="B296" t="inlineStr">
        <is>
          <t>Q2 2026</t>
        </is>
      </c>
      <c r="C296" t="inlineStr">
        <is>
          <t>PU01</t>
        </is>
      </c>
      <c r="D296" t="inlineStr">
        <is>
          <t>New patient</t>
        </is>
      </c>
      <c r="E296" t="inlineStr">
        <is>
          <t>THERAPY_B</t>
        </is>
      </c>
      <c r="F296" s="10" t="n">
        <v>46177</v>
      </c>
      <c r="G296" s="10" t="n">
        <v>46198</v>
      </c>
      <c r="H296" t="n">
        <v>16</v>
      </c>
      <c r="I296">
        <f>NETWORKDAYS(F296,G296)</f>
        <v/>
      </c>
      <c r="J296">
        <f>IF(H296=I296,"OK","CHECK")</f>
        <v/>
      </c>
    </row>
    <row r="297">
      <c r="A297" t="inlineStr">
        <is>
          <t>OS02763</t>
        </is>
      </c>
      <c r="B297" t="inlineStr">
        <is>
          <t>Q3 2026</t>
        </is>
      </c>
      <c r="C297" t="inlineStr">
        <is>
          <t>PU01</t>
        </is>
      </c>
      <c r="D297" t="inlineStr">
        <is>
          <t>New patient</t>
        </is>
      </c>
      <c r="E297" t="inlineStr">
        <is>
          <t>THERAPY_B</t>
        </is>
      </c>
      <c r="F297" s="10" t="n">
        <v>46177</v>
      </c>
      <c r="G297" s="10" t="n">
        <v>46204</v>
      </c>
      <c r="H297" t="n">
        <v>20</v>
      </c>
      <c r="I297">
        <f>NETWORKDAYS(F297,G297)</f>
        <v/>
      </c>
      <c r="J297">
        <f>IF(H297=I297,"OK","CHECK")</f>
        <v/>
      </c>
    </row>
    <row r="298">
      <c r="A298" t="inlineStr">
        <is>
          <t>OS02764</t>
        </is>
      </c>
      <c r="B298" t="inlineStr">
        <is>
          <t>Q2 2026</t>
        </is>
      </c>
      <c r="C298" t="inlineStr">
        <is>
          <t>PU02</t>
        </is>
      </c>
      <c r="D298" t="inlineStr">
        <is>
          <t>New patient</t>
        </is>
      </c>
      <c r="E298" t="inlineStr">
        <is>
          <t>THERAPY_I</t>
        </is>
      </c>
      <c r="F298" s="10" t="n">
        <v>46177</v>
      </c>
      <c r="G298" s="10" t="n">
        <v>46199</v>
      </c>
      <c r="H298" t="n">
        <v>17</v>
      </c>
      <c r="I298">
        <f>NETWORKDAYS(F298,G298)</f>
        <v/>
      </c>
      <c r="J298">
        <f>IF(H298=I298,"OK","CHECK")</f>
        <v/>
      </c>
    </row>
    <row r="299">
      <c r="A299" t="inlineStr">
        <is>
          <t>OS02766</t>
        </is>
      </c>
      <c r="B299" t="inlineStr">
        <is>
          <t>Q3 2026</t>
        </is>
      </c>
      <c r="C299" t="inlineStr">
        <is>
          <t>PU03</t>
        </is>
      </c>
      <c r="D299" t="inlineStr">
        <is>
          <t>New patient</t>
        </is>
      </c>
      <c r="E299" t="inlineStr">
        <is>
          <t>THERAPY_F</t>
        </is>
      </c>
      <c r="F299" s="10" t="n">
        <v>46177</v>
      </c>
      <c r="G299" s="10" t="n">
        <v>46217</v>
      </c>
      <c r="H299" t="n">
        <v>29</v>
      </c>
      <c r="I299">
        <f>NETWORKDAYS(F299,G299)</f>
        <v/>
      </c>
      <c r="J299">
        <f>IF(H299=I299,"OK","CHECK")</f>
        <v/>
      </c>
    </row>
    <row r="300">
      <c r="A300" t="inlineStr">
        <is>
          <t>OS02769</t>
        </is>
      </c>
      <c r="B300" t="inlineStr">
        <is>
          <t>Q3 2026</t>
        </is>
      </c>
      <c r="C300" t="inlineStr">
        <is>
          <t>PU03</t>
        </is>
      </c>
      <c r="D300" t="inlineStr">
        <is>
          <t>New patient</t>
        </is>
      </c>
      <c r="E300" t="inlineStr">
        <is>
          <t>THERAPY_F</t>
        </is>
      </c>
      <c r="F300" s="10" t="n">
        <v>46177</v>
      </c>
      <c r="G300" s="10" t="n">
        <v>46205</v>
      </c>
      <c r="H300" t="n">
        <v>21</v>
      </c>
      <c r="I300">
        <f>NETWORKDAYS(F300,G300)</f>
        <v/>
      </c>
      <c r="J300">
        <f>IF(H300=I300,"OK","CHECK")</f>
        <v/>
      </c>
    </row>
    <row r="301">
      <c r="A301" t="inlineStr">
        <is>
          <t>OS02771</t>
        </is>
      </c>
      <c r="B301" t="inlineStr">
        <is>
          <t>Q2 2026</t>
        </is>
      </c>
      <c r="C301" t="inlineStr">
        <is>
          <t>PU10</t>
        </is>
      </c>
      <c r="D301" t="inlineStr">
        <is>
          <t>New patient</t>
        </is>
      </c>
      <c r="E301" t="inlineStr">
        <is>
          <t>THERAPY_B</t>
        </is>
      </c>
      <c r="F301" s="10" t="n">
        <v>46177</v>
      </c>
      <c r="G301" s="10" t="n">
        <v>46198</v>
      </c>
      <c r="H301" t="n">
        <v>16</v>
      </c>
      <c r="I301">
        <f>NETWORKDAYS(F301,G301)</f>
        <v/>
      </c>
      <c r="J301">
        <f>IF(H301=I301,"OK","CHECK")</f>
        <v/>
      </c>
    </row>
    <row r="302">
      <c r="A302" t="inlineStr">
        <is>
          <t>OS02772</t>
        </is>
      </c>
      <c r="B302" t="inlineStr">
        <is>
          <t>Q3 2026</t>
        </is>
      </c>
      <c r="C302" t="inlineStr">
        <is>
          <t>PU07</t>
        </is>
      </c>
      <c r="D302" t="inlineStr">
        <is>
          <t>New patient</t>
        </is>
      </c>
      <c r="E302" t="inlineStr">
        <is>
          <t>THERAPY_H</t>
        </is>
      </c>
      <c r="F302" s="10" t="n">
        <v>46177</v>
      </c>
      <c r="G302" s="10" t="n">
        <v>46205</v>
      </c>
      <c r="H302" t="n">
        <v>21</v>
      </c>
      <c r="I302">
        <f>NETWORKDAYS(F302,G302)</f>
        <v/>
      </c>
      <c r="J302">
        <f>IF(H302=I302,"OK","CHECK")</f>
        <v/>
      </c>
    </row>
    <row r="303">
      <c r="A303" t="inlineStr">
        <is>
          <t>OS02775</t>
        </is>
      </c>
      <c r="B303" t="inlineStr">
        <is>
          <t>Q2 2026</t>
        </is>
      </c>
      <c r="C303" t="inlineStr">
        <is>
          <t>PU05</t>
        </is>
      </c>
      <c r="D303" t="inlineStr">
        <is>
          <t>New therapy</t>
        </is>
      </c>
      <c r="E303" t="inlineStr">
        <is>
          <t>THERAPY_B</t>
        </is>
      </c>
      <c r="F303" s="10" t="n">
        <v>46178</v>
      </c>
      <c r="G303" s="10" t="n">
        <v>46202</v>
      </c>
      <c r="H303" t="n">
        <v>17</v>
      </c>
      <c r="I303">
        <f>NETWORKDAYS(F303,G303)</f>
        <v/>
      </c>
      <c r="J303">
        <f>IF(H303=I303,"OK","CHECK")</f>
        <v/>
      </c>
    </row>
    <row r="304">
      <c r="A304" t="inlineStr">
        <is>
          <t>OS02778</t>
        </is>
      </c>
      <c r="B304" t="inlineStr">
        <is>
          <t>Q2 2026</t>
        </is>
      </c>
      <c r="C304" t="inlineStr">
        <is>
          <t>PU10</t>
        </is>
      </c>
      <c r="D304" t="inlineStr">
        <is>
          <t>New patient</t>
        </is>
      </c>
      <c r="E304" t="inlineStr">
        <is>
          <t>THERAPY_D</t>
        </is>
      </c>
      <c r="F304" s="10" t="n">
        <v>46181</v>
      </c>
      <c r="G304" s="10" t="n">
        <v>46203</v>
      </c>
      <c r="H304" t="n">
        <v>17</v>
      </c>
      <c r="I304">
        <f>NETWORKDAYS(F304,G304)</f>
        <v/>
      </c>
      <c r="J304">
        <f>IF(H304=I304,"OK","CHECK")</f>
        <v/>
      </c>
    </row>
    <row r="305">
      <c r="A305" t="inlineStr">
        <is>
          <t>OS02779</t>
        </is>
      </c>
      <c r="B305" t="inlineStr">
        <is>
          <t>Q2 2026</t>
        </is>
      </c>
      <c r="C305" t="inlineStr">
        <is>
          <t>PU02</t>
        </is>
      </c>
      <c r="D305" t="inlineStr">
        <is>
          <t>New patient</t>
        </is>
      </c>
      <c r="E305" t="inlineStr">
        <is>
          <t>THERAPY_G</t>
        </is>
      </c>
      <c r="F305" s="10" t="n">
        <v>46181</v>
      </c>
      <c r="G305" s="10" t="n">
        <v>46198</v>
      </c>
      <c r="H305" t="n">
        <v>14</v>
      </c>
      <c r="I305">
        <f>NETWORKDAYS(F305,G305)</f>
        <v/>
      </c>
      <c r="J305">
        <f>IF(H305=I305,"OK","CHECK")</f>
        <v/>
      </c>
    </row>
    <row r="306">
      <c r="A306" t="inlineStr">
        <is>
          <t>OS02782</t>
        </is>
      </c>
      <c r="B306" t="inlineStr">
        <is>
          <t>Q2 2026</t>
        </is>
      </c>
      <c r="C306" t="inlineStr">
        <is>
          <t>PU01</t>
        </is>
      </c>
      <c r="D306" t="inlineStr">
        <is>
          <t>New patient</t>
        </is>
      </c>
      <c r="E306" t="inlineStr">
        <is>
          <t>THERAPY_F</t>
        </is>
      </c>
      <c r="F306" s="10" t="n">
        <v>46182</v>
      </c>
      <c r="G306" s="10" t="n">
        <v>46203</v>
      </c>
      <c r="H306" t="n">
        <v>16</v>
      </c>
      <c r="I306">
        <f>NETWORKDAYS(F306,G306)</f>
        <v/>
      </c>
      <c r="J306">
        <f>IF(H306=I306,"OK","CHECK")</f>
        <v/>
      </c>
    </row>
    <row r="307">
      <c r="A307" t="inlineStr">
        <is>
          <t>OS02783</t>
        </is>
      </c>
      <c r="B307" t="inlineStr">
        <is>
          <t>Q2 2026</t>
        </is>
      </c>
      <c r="C307" t="inlineStr">
        <is>
          <t>PU01</t>
        </is>
      </c>
      <c r="D307" t="inlineStr">
        <is>
          <t>New patient</t>
        </is>
      </c>
      <c r="E307" t="inlineStr">
        <is>
          <t>THERAPY_B</t>
        </is>
      </c>
      <c r="F307" s="10" t="n">
        <v>46182</v>
      </c>
      <c r="G307" s="10" t="n">
        <v>46197</v>
      </c>
      <c r="H307" t="n">
        <v>12</v>
      </c>
      <c r="I307">
        <f>NETWORKDAYS(F307,G307)</f>
        <v/>
      </c>
      <c r="J307">
        <f>IF(H307=I307,"OK","CHECK")</f>
        <v/>
      </c>
    </row>
    <row r="308">
      <c r="A308" t="inlineStr">
        <is>
          <t>OS02784</t>
        </is>
      </c>
      <c r="B308" t="inlineStr">
        <is>
          <t>Q3 2026</t>
        </is>
      </c>
      <c r="C308" t="inlineStr">
        <is>
          <t>PU99</t>
        </is>
      </c>
      <c r="D308" t="inlineStr">
        <is>
          <t>New patient</t>
        </is>
      </c>
      <c r="E308" t="inlineStr">
        <is>
          <t>THERAPY_D</t>
        </is>
      </c>
      <c r="F308" s="10" t="n">
        <v>46182</v>
      </c>
      <c r="G308" s="10" t="n">
        <v>46216</v>
      </c>
      <c r="H308" t="n">
        <v>25</v>
      </c>
      <c r="I308">
        <f>NETWORKDAYS(F308,G308)</f>
        <v/>
      </c>
      <c r="J308">
        <f>IF(H308=I308,"OK","CHECK")</f>
        <v/>
      </c>
    </row>
    <row r="309">
      <c r="A309" t="inlineStr">
        <is>
          <t>OS02786</t>
        </is>
      </c>
      <c r="B309" t="inlineStr">
        <is>
          <t>Q2 2026</t>
        </is>
      </c>
      <c r="C309" t="inlineStr">
        <is>
          <t>PU06</t>
        </is>
      </c>
      <c r="D309" t="inlineStr">
        <is>
          <t>New patient</t>
        </is>
      </c>
      <c r="E309" t="inlineStr">
        <is>
          <t>THERAPY_F</t>
        </is>
      </c>
      <c r="F309" s="10" t="n">
        <v>46182</v>
      </c>
      <c r="G309" s="10" t="n">
        <v>46192</v>
      </c>
      <c r="H309" t="n">
        <v>9</v>
      </c>
      <c r="I309">
        <f>NETWORKDAYS(F309,G309)</f>
        <v/>
      </c>
      <c r="J309">
        <f>IF(H309=I309,"OK","CHECK")</f>
        <v/>
      </c>
    </row>
    <row r="310">
      <c r="A310" t="inlineStr">
        <is>
          <t>OS02787</t>
        </is>
      </c>
      <c r="B310" t="inlineStr">
        <is>
          <t>Q2 2026</t>
        </is>
      </c>
      <c r="C310" t="inlineStr">
        <is>
          <t>PU04</t>
        </is>
      </c>
      <c r="D310" t="inlineStr">
        <is>
          <t>New patient</t>
        </is>
      </c>
      <c r="E310" t="inlineStr">
        <is>
          <t>THERAPY_B</t>
        </is>
      </c>
      <c r="F310" s="10" t="n">
        <v>46182</v>
      </c>
      <c r="G310" s="10" t="n">
        <v>46198</v>
      </c>
      <c r="H310" t="n">
        <v>13</v>
      </c>
      <c r="I310">
        <f>NETWORKDAYS(F310,G310)</f>
        <v/>
      </c>
      <c r="J310">
        <f>IF(H310=I310,"OK","CHECK")</f>
        <v/>
      </c>
    </row>
    <row r="311">
      <c r="A311" t="inlineStr">
        <is>
          <t>OS02788</t>
        </is>
      </c>
      <c r="B311" t="inlineStr">
        <is>
          <t>Q3 2026</t>
        </is>
      </c>
      <c r="C311" t="inlineStr">
        <is>
          <t>PU02</t>
        </is>
      </c>
      <c r="D311" t="inlineStr">
        <is>
          <t>New patient</t>
        </is>
      </c>
      <c r="E311" t="inlineStr">
        <is>
          <t>THERAPY_A</t>
        </is>
      </c>
      <c r="F311" s="10" t="n">
        <v>46183</v>
      </c>
      <c r="G311" s="10" t="n">
        <v>46205</v>
      </c>
      <c r="H311" t="n">
        <v>17</v>
      </c>
      <c r="I311">
        <f>NETWORKDAYS(F311,G311)</f>
        <v/>
      </c>
      <c r="J311">
        <f>IF(H311=I311,"OK","CHECK")</f>
        <v/>
      </c>
    </row>
    <row r="312">
      <c r="A312" t="inlineStr">
        <is>
          <t>OS02789</t>
        </is>
      </c>
      <c r="B312" t="inlineStr">
        <is>
          <t>Q3 2026</t>
        </is>
      </c>
      <c r="C312" t="inlineStr">
        <is>
          <t>PU04</t>
        </is>
      </c>
      <c r="D312" t="inlineStr">
        <is>
          <t>New patient</t>
        </is>
      </c>
      <c r="E312" t="inlineStr">
        <is>
          <t>THERAPY_B</t>
        </is>
      </c>
      <c r="F312" s="10" t="n">
        <v>46183</v>
      </c>
      <c r="G312" s="10" t="n">
        <v>46216</v>
      </c>
      <c r="H312" t="n">
        <v>24</v>
      </c>
      <c r="I312">
        <f>NETWORKDAYS(F312,G312)</f>
        <v/>
      </c>
      <c r="J312">
        <f>IF(H312=I312,"OK","CHECK")</f>
        <v/>
      </c>
    </row>
    <row r="313">
      <c r="A313" t="inlineStr">
        <is>
          <t>OS02790</t>
        </is>
      </c>
      <c r="B313" t="inlineStr">
        <is>
          <t>Q2 2026</t>
        </is>
      </c>
      <c r="C313" t="inlineStr">
        <is>
          <t>PU04</t>
        </is>
      </c>
      <c r="D313" t="inlineStr">
        <is>
          <t>New patient</t>
        </is>
      </c>
      <c r="E313" t="inlineStr">
        <is>
          <t>THERAPY_F</t>
        </is>
      </c>
      <c r="F313" s="10" t="n">
        <v>46183</v>
      </c>
      <c r="G313" s="10" t="n">
        <v>46202</v>
      </c>
      <c r="H313" t="n">
        <v>14</v>
      </c>
      <c r="I313">
        <f>NETWORKDAYS(F313,G313)</f>
        <v/>
      </c>
      <c r="J313">
        <f>IF(H313=I313,"OK","CHECK")</f>
        <v/>
      </c>
    </row>
    <row r="314">
      <c r="A314" t="inlineStr">
        <is>
          <t>OS02793</t>
        </is>
      </c>
      <c r="B314" t="inlineStr">
        <is>
          <t>Q3 2026</t>
        </is>
      </c>
      <c r="C314" t="inlineStr">
        <is>
          <t>PU07</t>
        </is>
      </c>
      <c r="D314" t="inlineStr">
        <is>
          <t>New patient</t>
        </is>
      </c>
      <c r="E314" t="inlineStr">
        <is>
          <t>THERAPY_G</t>
        </is>
      </c>
      <c r="F314" s="10" t="n">
        <v>46184</v>
      </c>
      <c r="G314" s="10" t="n">
        <v>46244</v>
      </c>
      <c r="H314" t="n">
        <v>43</v>
      </c>
      <c r="I314">
        <f>NETWORKDAYS(F314,G314)</f>
        <v/>
      </c>
      <c r="J314">
        <f>IF(H314=I314,"OK","CHECK")</f>
        <v/>
      </c>
    </row>
    <row r="315">
      <c r="A315" t="inlineStr">
        <is>
          <t>OS02794</t>
        </is>
      </c>
      <c r="B315" t="inlineStr">
        <is>
          <t>Q2 2026</t>
        </is>
      </c>
      <c r="C315" t="inlineStr">
        <is>
          <t>PU01</t>
        </is>
      </c>
      <c r="D315" t="inlineStr">
        <is>
          <t>New patient</t>
        </is>
      </c>
      <c r="E315" t="inlineStr">
        <is>
          <t>THERAPY_C</t>
        </is>
      </c>
      <c r="F315" s="10" t="n">
        <v>46184</v>
      </c>
      <c r="G315" s="10" t="n">
        <v>46196</v>
      </c>
      <c r="H315" t="n">
        <v>9</v>
      </c>
      <c r="I315">
        <f>NETWORKDAYS(F315,G315)</f>
        <v/>
      </c>
      <c r="J315">
        <f>IF(H315=I315,"OK","CHECK")</f>
        <v/>
      </c>
    </row>
    <row r="316">
      <c r="A316" t="inlineStr">
        <is>
          <t>OS02795</t>
        </is>
      </c>
      <c r="B316" t="inlineStr">
        <is>
          <t>Q3 2026</t>
        </is>
      </c>
      <c r="C316" t="inlineStr">
        <is>
          <t>PU10</t>
        </is>
      </c>
      <c r="D316" t="inlineStr">
        <is>
          <t>New patient</t>
        </is>
      </c>
      <c r="E316" t="inlineStr">
        <is>
          <t>THERAPY_E</t>
        </is>
      </c>
      <c r="F316" s="10" t="n">
        <v>46184</v>
      </c>
      <c r="G316" s="10" t="n">
        <v>46205</v>
      </c>
      <c r="H316" t="n">
        <v>16</v>
      </c>
      <c r="I316">
        <f>NETWORKDAYS(F316,G316)</f>
        <v/>
      </c>
      <c r="J316">
        <f>IF(H316=I316,"OK","CHECK")</f>
        <v/>
      </c>
    </row>
    <row r="317">
      <c r="A317" t="inlineStr">
        <is>
          <t>OS02797</t>
        </is>
      </c>
      <c r="B317" t="inlineStr">
        <is>
          <t>Q3 2026</t>
        </is>
      </c>
      <c r="C317" t="inlineStr">
        <is>
          <t>PU01</t>
        </is>
      </c>
      <c r="D317" t="inlineStr">
        <is>
          <t>New therapy</t>
        </is>
      </c>
      <c r="E317" t="inlineStr">
        <is>
          <t>THERAPY_E</t>
        </is>
      </c>
      <c r="F317" s="10" t="n">
        <v>46185</v>
      </c>
      <c r="G317" s="10" t="n">
        <v>46204</v>
      </c>
      <c r="H317" t="n">
        <v>14</v>
      </c>
      <c r="I317">
        <f>NETWORKDAYS(F317,G317)</f>
        <v/>
      </c>
      <c r="J317">
        <f>IF(H317=I317,"OK","CHECK")</f>
        <v/>
      </c>
    </row>
    <row r="318">
      <c r="A318" t="inlineStr">
        <is>
          <t>OS02799</t>
        </is>
      </c>
      <c r="B318" t="inlineStr">
        <is>
          <t>Q3 2026</t>
        </is>
      </c>
      <c r="C318" t="inlineStr">
        <is>
          <t>PU05</t>
        </is>
      </c>
      <c r="D318" t="inlineStr">
        <is>
          <t>New patient</t>
        </is>
      </c>
      <c r="E318" t="inlineStr">
        <is>
          <t>THERAPY_B</t>
        </is>
      </c>
      <c r="F318" s="10" t="n">
        <v>46185</v>
      </c>
      <c r="G318" s="10" t="n">
        <v>46216</v>
      </c>
      <c r="H318" t="n">
        <v>22</v>
      </c>
      <c r="I318">
        <f>NETWORKDAYS(F318,G318)</f>
        <v/>
      </c>
      <c r="J318">
        <f>IF(H318=I318,"OK","CHECK")</f>
        <v/>
      </c>
    </row>
    <row r="319">
      <c r="A319" t="inlineStr">
        <is>
          <t>OS02801</t>
        </is>
      </c>
      <c r="B319" t="inlineStr">
        <is>
          <t>Q3 2026</t>
        </is>
      </c>
      <c r="C319" t="inlineStr">
        <is>
          <t>PU04</t>
        </is>
      </c>
      <c r="D319" t="inlineStr">
        <is>
          <t>New patient</t>
        </is>
      </c>
      <c r="E319" t="inlineStr">
        <is>
          <t>THERAPY_D</t>
        </is>
      </c>
      <c r="F319" s="10" t="n">
        <v>46185</v>
      </c>
      <c r="G319" s="10" t="n">
        <v>46205</v>
      </c>
      <c r="H319" t="n">
        <v>15</v>
      </c>
      <c r="I319">
        <f>NETWORKDAYS(F319,G319)</f>
        <v/>
      </c>
      <c r="J319">
        <f>IF(H319=I319,"OK","CHECK")</f>
        <v/>
      </c>
    </row>
    <row r="320">
      <c r="A320" t="inlineStr">
        <is>
          <t>OS02802</t>
        </is>
      </c>
      <c r="B320" t="inlineStr">
        <is>
          <t>Q3 2026</t>
        </is>
      </c>
      <c r="C320" t="inlineStr">
        <is>
          <t>PU02</t>
        </is>
      </c>
      <c r="D320" t="inlineStr">
        <is>
          <t>New patient</t>
        </is>
      </c>
      <c r="E320" t="inlineStr">
        <is>
          <t>THERAPY_B</t>
        </is>
      </c>
      <c r="F320" s="10" t="n">
        <v>46185</v>
      </c>
      <c r="G320" s="10" t="n">
        <v>46210</v>
      </c>
      <c r="H320" t="n">
        <v>18</v>
      </c>
      <c r="I320">
        <f>NETWORKDAYS(F320,G320)</f>
        <v/>
      </c>
      <c r="J320">
        <f>IF(H320=I320,"OK","CHECK")</f>
        <v/>
      </c>
    </row>
    <row r="321">
      <c r="A321" t="inlineStr">
        <is>
          <t>OS02806</t>
        </is>
      </c>
      <c r="B321" t="inlineStr">
        <is>
          <t>Q3 2026</t>
        </is>
      </c>
      <c r="C321" t="inlineStr">
        <is>
          <t>PU08</t>
        </is>
      </c>
      <c r="D321" t="inlineStr">
        <is>
          <t>New patient</t>
        </is>
      </c>
      <c r="E321" t="inlineStr">
        <is>
          <t>THERAPY_H</t>
        </is>
      </c>
      <c r="F321" s="10" t="n">
        <v>46188</v>
      </c>
      <c r="G321" s="10" t="n">
        <v>46213</v>
      </c>
      <c r="H321" t="n">
        <v>20</v>
      </c>
      <c r="I321">
        <f>NETWORKDAYS(F321,G321)</f>
        <v/>
      </c>
      <c r="J321">
        <f>IF(H321=I321,"OK","CHECK")</f>
        <v/>
      </c>
    </row>
    <row r="322">
      <c r="A322" t="inlineStr">
        <is>
          <t>OS02810</t>
        </is>
      </c>
      <c r="B322" t="inlineStr">
        <is>
          <t>Q3 2026</t>
        </is>
      </c>
      <c r="C322" t="inlineStr">
        <is>
          <t>PU04</t>
        </is>
      </c>
      <c r="D322" t="inlineStr">
        <is>
          <t>New patient</t>
        </is>
      </c>
      <c r="E322" t="inlineStr">
        <is>
          <t>THERAPY_G</t>
        </is>
      </c>
      <c r="F322" s="10" t="n">
        <v>46188</v>
      </c>
      <c r="G322" s="10" t="n">
        <v>46205</v>
      </c>
      <c r="H322" t="n">
        <v>14</v>
      </c>
      <c r="I322">
        <f>NETWORKDAYS(F322,G322)</f>
        <v/>
      </c>
      <c r="J322">
        <f>IF(H322=I322,"OK","CHECK")</f>
        <v/>
      </c>
    </row>
    <row r="323">
      <c r="A323" t="inlineStr">
        <is>
          <t>OS02812</t>
        </is>
      </c>
      <c r="B323" t="inlineStr">
        <is>
          <t>Q3 2026</t>
        </is>
      </c>
      <c r="C323" t="inlineStr">
        <is>
          <t>PU04</t>
        </is>
      </c>
      <c r="D323" t="inlineStr">
        <is>
          <t>New patient</t>
        </is>
      </c>
      <c r="E323" t="inlineStr">
        <is>
          <t>THERAPY_C</t>
        </is>
      </c>
      <c r="F323" s="10" t="n">
        <v>46188</v>
      </c>
      <c r="G323" s="10" t="n">
        <v>46227</v>
      </c>
      <c r="H323" t="n">
        <v>30</v>
      </c>
      <c r="I323">
        <f>NETWORKDAYS(F323,G323)</f>
        <v/>
      </c>
      <c r="J323">
        <f>IF(H323=I323,"OK","CHECK")</f>
        <v/>
      </c>
    </row>
    <row r="324">
      <c r="A324" t="inlineStr">
        <is>
          <t>OS02815</t>
        </is>
      </c>
      <c r="B324" t="inlineStr">
        <is>
          <t>Q3 2026</t>
        </is>
      </c>
      <c r="C324" t="inlineStr">
        <is>
          <t>PU01</t>
        </is>
      </c>
      <c r="D324" t="inlineStr">
        <is>
          <t>New patient</t>
        </is>
      </c>
      <c r="E324" t="inlineStr">
        <is>
          <t>THERAPY_A</t>
        </is>
      </c>
      <c r="F324" s="10" t="n">
        <v>46189</v>
      </c>
      <c r="G324" s="10" t="n">
        <v>46219</v>
      </c>
      <c r="H324" t="n">
        <v>23</v>
      </c>
      <c r="I324">
        <f>NETWORKDAYS(F324,G324)</f>
        <v/>
      </c>
      <c r="J324">
        <f>IF(H324=I324,"OK","CHECK")</f>
        <v/>
      </c>
    </row>
    <row r="325">
      <c r="A325" t="inlineStr">
        <is>
          <t>OS02819</t>
        </is>
      </c>
      <c r="B325" t="inlineStr">
        <is>
          <t>Q2 2026</t>
        </is>
      </c>
      <c r="C325" t="inlineStr">
        <is>
          <t>PU02</t>
        </is>
      </c>
      <c r="D325" t="inlineStr">
        <is>
          <t>New patient</t>
        </is>
      </c>
      <c r="E325" t="inlineStr">
        <is>
          <t>THERAPY_G</t>
        </is>
      </c>
      <c r="F325" s="10" t="n">
        <v>46189</v>
      </c>
      <c r="G325" s="10" t="n">
        <v>46198</v>
      </c>
      <c r="H325" t="n">
        <v>8</v>
      </c>
      <c r="I325">
        <f>NETWORKDAYS(F325,G325)</f>
        <v/>
      </c>
      <c r="J325">
        <f>IF(H325=I325,"OK","CHECK")</f>
        <v/>
      </c>
    </row>
    <row r="326">
      <c r="A326" t="inlineStr">
        <is>
          <t>OS02820</t>
        </is>
      </c>
      <c r="B326" t="inlineStr">
        <is>
          <t>Q3 2026</t>
        </is>
      </c>
      <c r="C326" t="inlineStr">
        <is>
          <t>PU02</t>
        </is>
      </c>
      <c r="D326" t="inlineStr">
        <is>
          <t>New patient</t>
        </is>
      </c>
      <c r="E326" t="inlineStr">
        <is>
          <t>THERAPY_G</t>
        </is>
      </c>
      <c r="F326" s="10" t="n">
        <v>46189</v>
      </c>
      <c r="G326" s="10" t="n">
        <v>46209</v>
      </c>
      <c r="H326" t="n">
        <v>15</v>
      </c>
      <c r="I326">
        <f>NETWORKDAYS(F326,G326)</f>
        <v/>
      </c>
      <c r="J326">
        <f>IF(H326=I326,"OK","CHECK")</f>
        <v/>
      </c>
    </row>
    <row r="327">
      <c r="A327" t="inlineStr">
        <is>
          <t>OS02823</t>
        </is>
      </c>
      <c r="B327" t="inlineStr">
        <is>
          <t>Q3 2026</t>
        </is>
      </c>
      <c r="C327" t="inlineStr">
        <is>
          <t>PU07</t>
        </is>
      </c>
      <c r="D327" t="inlineStr">
        <is>
          <t>New patient</t>
        </is>
      </c>
      <c r="E327" t="inlineStr">
        <is>
          <t>THERAPY_J</t>
        </is>
      </c>
      <c r="F327" s="10" t="n">
        <v>46190</v>
      </c>
      <c r="G327" s="10" t="n">
        <v>46220</v>
      </c>
      <c r="H327" t="n">
        <v>23</v>
      </c>
      <c r="I327">
        <f>NETWORKDAYS(F327,G327)</f>
        <v/>
      </c>
      <c r="J327">
        <f>IF(H327=I327,"OK","CHECK")</f>
        <v/>
      </c>
    </row>
    <row r="328">
      <c r="A328" t="inlineStr">
        <is>
          <t>OS02825</t>
        </is>
      </c>
      <c r="B328" t="inlineStr">
        <is>
          <t>Q3 2026</t>
        </is>
      </c>
      <c r="C328" t="inlineStr">
        <is>
          <t>PU08</t>
        </is>
      </c>
      <c r="D328" t="inlineStr">
        <is>
          <t>New patient</t>
        </is>
      </c>
      <c r="E328" t="inlineStr">
        <is>
          <t>THERAPY_F</t>
        </is>
      </c>
      <c r="F328" s="10" t="n">
        <v>46190</v>
      </c>
      <c r="G328" s="10" t="n">
        <v>46223</v>
      </c>
      <c r="H328" t="n">
        <v>24</v>
      </c>
      <c r="I328">
        <f>NETWORKDAYS(F328,G328)</f>
        <v/>
      </c>
      <c r="J328">
        <f>IF(H328=I328,"OK","CHECK")</f>
        <v/>
      </c>
    </row>
    <row r="329">
      <c r="A329" t="inlineStr">
        <is>
          <t>OS02826</t>
        </is>
      </c>
      <c r="B329" t="inlineStr">
        <is>
          <t>Q3 2026</t>
        </is>
      </c>
      <c r="C329" t="inlineStr">
        <is>
          <t>PU06</t>
        </is>
      </c>
      <c r="D329" t="inlineStr">
        <is>
          <t>New patient</t>
        </is>
      </c>
      <c r="E329" t="inlineStr">
        <is>
          <t>THERAPY_A</t>
        </is>
      </c>
      <c r="F329" s="10" t="n">
        <v>46190</v>
      </c>
      <c r="G329" s="10" t="n">
        <v>46217</v>
      </c>
      <c r="H329" t="n">
        <v>20</v>
      </c>
      <c r="I329">
        <f>NETWORKDAYS(F329,G329)</f>
        <v/>
      </c>
      <c r="J329">
        <f>IF(H329=I329,"OK","CHECK")</f>
        <v/>
      </c>
    </row>
    <row r="330">
      <c r="A330" t="inlineStr">
        <is>
          <t>OS02827</t>
        </is>
      </c>
      <c r="B330" t="inlineStr">
        <is>
          <t>Q3 2026</t>
        </is>
      </c>
      <c r="C330" t="inlineStr">
        <is>
          <t>PU05</t>
        </is>
      </c>
      <c r="D330" t="inlineStr">
        <is>
          <t>New patient</t>
        </is>
      </c>
      <c r="E330" t="inlineStr">
        <is>
          <t>THERAPY_D</t>
        </is>
      </c>
      <c r="F330" s="10" t="n">
        <v>46190</v>
      </c>
      <c r="G330" s="10" t="n">
        <v>46223</v>
      </c>
      <c r="H330" t="n">
        <v>24</v>
      </c>
      <c r="I330">
        <f>NETWORKDAYS(F330,G330)</f>
        <v/>
      </c>
      <c r="J330">
        <f>IF(H330=I330,"OK","CHECK")</f>
        <v/>
      </c>
    </row>
    <row r="331">
      <c r="A331" t="inlineStr">
        <is>
          <t>OS02830</t>
        </is>
      </c>
      <c r="B331" t="inlineStr">
        <is>
          <t>Q3 2026</t>
        </is>
      </c>
      <c r="C331" t="inlineStr">
        <is>
          <t>PU09</t>
        </is>
      </c>
      <c r="D331" t="inlineStr">
        <is>
          <t>New patient</t>
        </is>
      </c>
      <c r="E331" t="inlineStr">
        <is>
          <t>THERAPY_B</t>
        </is>
      </c>
      <c r="F331" s="10" t="n">
        <v>46190</v>
      </c>
      <c r="G331" s="10" t="n">
        <v>46227</v>
      </c>
      <c r="H331" t="n">
        <v>28</v>
      </c>
      <c r="I331">
        <f>NETWORKDAYS(F331,G331)</f>
        <v/>
      </c>
      <c r="J331">
        <f>IF(H331=I331,"OK","CHECK")</f>
        <v/>
      </c>
    </row>
    <row r="332">
      <c r="A332" t="inlineStr">
        <is>
          <t>OS02831</t>
        </is>
      </c>
      <c r="B332" t="inlineStr">
        <is>
          <t>Q3 2026</t>
        </is>
      </c>
      <c r="C332" t="inlineStr">
        <is>
          <t>PU05</t>
        </is>
      </c>
      <c r="D332" t="inlineStr">
        <is>
          <t>New patient</t>
        </is>
      </c>
      <c r="E332" t="inlineStr">
        <is>
          <t>THERAPY_B</t>
        </is>
      </c>
      <c r="F332" s="10" t="n">
        <v>46190</v>
      </c>
      <c r="G332" s="10" t="n">
        <v>46212</v>
      </c>
      <c r="H332" t="n">
        <v>17</v>
      </c>
      <c r="I332">
        <f>NETWORKDAYS(F332,G332)</f>
        <v/>
      </c>
      <c r="J332">
        <f>IF(H332=I332,"OK","CHECK")</f>
        <v/>
      </c>
    </row>
    <row r="333">
      <c r="A333" t="inlineStr">
        <is>
          <t>OS02834</t>
        </is>
      </c>
      <c r="B333" t="inlineStr">
        <is>
          <t>Q3 2026</t>
        </is>
      </c>
      <c r="C333" t="inlineStr">
        <is>
          <t>PU06</t>
        </is>
      </c>
      <c r="D333" t="inlineStr">
        <is>
          <t>New patient</t>
        </is>
      </c>
      <c r="E333" t="inlineStr">
        <is>
          <t>THERAPY_G</t>
        </is>
      </c>
      <c r="F333" s="10" t="n">
        <v>46191</v>
      </c>
      <c r="G333" s="10" t="n">
        <v>46212</v>
      </c>
      <c r="H333" t="n">
        <v>16</v>
      </c>
      <c r="I333">
        <f>NETWORKDAYS(F333,G333)</f>
        <v/>
      </c>
      <c r="J333">
        <f>IF(H333=I333,"OK","CHECK")</f>
        <v/>
      </c>
    </row>
    <row r="334">
      <c r="A334" t="inlineStr">
        <is>
          <t>OS02835</t>
        </is>
      </c>
      <c r="B334" t="inlineStr">
        <is>
          <t>Q3 2026</t>
        </is>
      </c>
      <c r="C334" t="inlineStr">
        <is>
          <t>PU08</t>
        </is>
      </c>
      <c r="D334" t="inlineStr">
        <is>
          <t>New patient</t>
        </is>
      </c>
      <c r="E334" t="inlineStr">
        <is>
          <t>THERAPY_I</t>
        </is>
      </c>
      <c r="F334" s="10" t="n">
        <v>46191</v>
      </c>
      <c r="G334" s="10" t="n">
        <v>46218</v>
      </c>
      <c r="H334" t="n">
        <v>20</v>
      </c>
      <c r="I334">
        <f>NETWORKDAYS(F334,G334)</f>
        <v/>
      </c>
      <c r="J334">
        <f>IF(H334=I334,"OK","CHECK")</f>
        <v/>
      </c>
    </row>
    <row r="335">
      <c r="A335" t="inlineStr">
        <is>
          <t>OS02836</t>
        </is>
      </c>
      <c r="B335" t="inlineStr">
        <is>
          <t>Q3 2026</t>
        </is>
      </c>
      <c r="C335" t="inlineStr">
        <is>
          <t>PU04</t>
        </is>
      </c>
      <c r="D335" t="inlineStr">
        <is>
          <t>New patient</t>
        </is>
      </c>
      <c r="E335" t="inlineStr">
        <is>
          <t>THERAPY_E</t>
        </is>
      </c>
      <c r="F335" s="10" t="n">
        <v>46191</v>
      </c>
      <c r="G335" s="10" t="n">
        <v>46212</v>
      </c>
      <c r="H335" t="n">
        <v>16</v>
      </c>
      <c r="I335">
        <f>NETWORKDAYS(F335,G335)</f>
        <v/>
      </c>
      <c r="J335">
        <f>IF(H335=I335,"OK","CHECK")</f>
        <v/>
      </c>
    </row>
    <row r="336">
      <c r="A336" t="inlineStr">
        <is>
          <t>OS02838</t>
        </is>
      </c>
      <c r="B336" t="inlineStr">
        <is>
          <t>Q3 2026</t>
        </is>
      </c>
      <c r="C336" t="inlineStr">
        <is>
          <t>PU09</t>
        </is>
      </c>
      <c r="D336" t="inlineStr">
        <is>
          <t>New patient</t>
        </is>
      </c>
      <c r="E336" t="inlineStr">
        <is>
          <t>THERAPY_A</t>
        </is>
      </c>
      <c r="F336" s="10" t="n">
        <v>46191</v>
      </c>
      <c r="G336" s="10" t="n">
        <v>46219</v>
      </c>
      <c r="H336" t="n">
        <v>21</v>
      </c>
      <c r="I336">
        <f>NETWORKDAYS(F336,G336)</f>
        <v/>
      </c>
      <c r="J336">
        <f>IF(H336=I336,"OK","CHECK")</f>
        <v/>
      </c>
    </row>
    <row r="337">
      <c r="A337" t="inlineStr">
        <is>
          <t>OS02839</t>
        </is>
      </c>
      <c r="B337" t="inlineStr">
        <is>
          <t>Q3 2026</t>
        </is>
      </c>
      <c r="C337" t="inlineStr">
        <is>
          <t>PU01</t>
        </is>
      </c>
      <c r="D337" t="inlineStr">
        <is>
          <t>New therapy</t>
        </is>
      </c>
      <c r="E337" t="inlineStr">
        <is>
          <t>THERAPY_J</t>
        </is>
      </c>
      <c r="F337" s="10" t="n">
        <v>46191</v>
      </c>
      <c r="G337" s="10" t="n">
        <v>46225</v>
      </c>
      <c r="H337" t="n">
        <v>25</v>
      </c>
      <c r="I337">
        <f>NETWORKDAYS(F337,G337)</f>
        <v/>
      </c>
      <c r="J337">
        <f>IF(H337=I337,"OK","CHECK")</f>
        <v/>
      </c>
    </row>
    <row r="338">
      <c r="A338" t="inlineStr">
        <is>
          <t>OS02840</t>
        </is>
      </c>
      <c r="B338" t="inlineStr">
        <is>
          <t>Q3 2026</t>
        </is>
      </c>
      <c r="C338" t="inlineStr">
        <is>
          <t>PU02</t>
        </is>
      </c>
      <c r="D338" t="inlineStr">
        <is>
          <t>New patient</t>
        </is>
      </c>
      <c r="E338" t="inlineStr">
        <is>
          <t>THERAPY_F</t>
        </is>
      </c>
      <c r="F338" s="10" t="n">
        <v>46192</v>
      </c>
      <c r="G338" s="10" t="n">
        <v>46216</v>
      </c>
      <c r="H338" t="n">
        <v>17</v>
      </c>
      <c r="I338">
        <f>NETWORKDAYS(F338,G338)</f>
        <v/>
      </c>
      <c r="J338">
        <f>IF(H338=I338,"OK","CHECK")</f>
        <v/>
      </c>
    </row>
    <row r="339">
      <c r="A339" t="inlineStr">
        <is>
          <t>OS02841</t>
        </is>
      </c>
      <c r="B339" t="inlineStr">
        <is>
          <t>Q3 2026</t>
        </is>
      </c>
      <c r="C339" t="inlineStr">
        <is>
          <t>PU06</t>
        </is>
      </c>
      <c r="D339" t="inlineStr">
        <is>
          <t>New patient</t>
        </is>
      </c>
      <c r="E339" t="inlineStr">
        <is>
          <t>THERAPY_F</t>
        </is>
      </c>
      <c r="F339" s="10" t="n">
        <v>46192</v>
      </c>
      <c r="G339" s="10" t="n">
        <v>46213</v>
      </c>
      <c r="H339" t="n">
        <v>16</v>
      </c>
      <c r="I339">
        <f>NETWORKDAYS(F339,G339)</f>
        <v/>
      </c>
      <c r="J339">
        <f>IF(H339=I339,"OK","CHECK")</f>
        <v/>
      </c>
    </row>
    <row r="340">
      <c r="A340" t="inlineStr">
        <is>
          <t>OS02843</t>
        </is>
      </c>
      <c r="B340" t="inlineStr">
        <is>
          <t>Q3 2026</t>
        </is>
      </c>
      <c r="C340" t="inlineStr">
        <is>
          <t>PU03</t>
        </is>
      </c>
      <c r="D340" t="inlineStr">
        <is>
          <t>New patient</t>
        </is>
      </c>
      <c r="E340" t="inlineStr">
        <is>
          <t>THERAPY_H</t>
        </is>
      </c>
      <c r="F340" s="10" t="n">
        <v>46192</v>
      </c>
      <c r="G340" s="10" t="n">
        <v>46218</v>
      </c>
      <c r="H340" t="n">
        <v>19</v>
      </c>
      <c r="I340">
        <f>NETWORKDAYS(F340,G340)</f>
        <v/>
      </c>
      <c r="J340">
        <f>IF(H340=I340,"OK","CHECK")</f>
        <v/>
      </c>
    </row>
    <row r="341">
      <c r="A341" t="inlineStr">
        <is>
          <t>OS02844</t>
        </is>
      </c>
      <c r="B341" t="inlineStr">
        <is>
          <t>Q3 2026</t>
        </is>
      </c>
      <c r="C341" t="inlineStr">
        <is>
          <t>PU99</t>
        </is>
      </c>
      <c r="D341" t="inlineStr">
        <is>
          <t>New patient</t>
        </is>
      </c>
      <c r="E341" t="inlineStr">
        <is>
          <t>THERAPY_B</t>
        </is>
      </c>
      <c r="F341" s="10" t="n">
        <v>46195</v>
      </c>
      <c r="G341" s="10" t="n">
        <v>46217</v>
      </c>
      <c r="H341" t="n">
        <v>17</v>
      </c>
      <c r="I341">
        <f>NETWORKDAYS(F341,G341)</f>
        <v/>
      </c>
      <c r="J341">
        <f>IF(H341=I341,"OK","CHECK")</f>
        <v/>
      </c>
    </row>
    <row r="342">
      <c r="A342" t="inlineStr">
        <is>
          <t>OS02846</t>
        </is>
      </c>
      <c r="B342" t="inlineStr">
        <is>
          <t>Q3 2026</t>
        </is>
      </c>
      <c r="C342" t="inlineStr">
        <is>
          <t>PU04</t>
        </is>
      </c>
      <c r="D342" t="inlineStr">
        <is>
          <t>New patient</t>
        </is>
      </c>
      <c r="E342" t="inlineStr">
        <is>
          <t>THERAPY_B</t>
        </is>
      </c>
      <c r="F342" s="10" t="n">
        <v>46195</v>
      </c>
      <c r="G342" s="10" t="n">
        <v>46220</v>
      </c>
      <c r="H342" t="n">
        <v>20</v>
      </c>
      <c r="I342">
        <f>NETWORKDAYS(F342,G342)</f>
        <v/>
      </c>
      <c r="J342">
        <f>IF(H342=I342,"OK","CHECK")</f>
        <v/>
      </c>
    </row>
    <row r="343">
      <c r="A343" t="inlineStr">
        <is>
          <t>OS02847</t>
        </is>
      </c>
      <c r="B343" t="inlineStr">
        <is>
          <t>Q3 2026</t>
        </is>
      </c>
      <c r="C343" t="inlineStr">
        <is>
          <t>PU04</t>
        </is>
      </c>
      <c r="D343" t="inlineStr">
        <is>
          <t>New patient</t>
        </is>
      </c>
      <c r="E343" t="inlineStr">
        <is>
          <t>THERAPY_D</t>
        </is>
      </c>
      <c r="F343" s="10" t="n">
        <v>46195</v>
      </c>
      <c r="G343" s="10" t="n">
        <v>46238</v>
      </c>
      <c r="H343" t="n">
        <v>32</v>
      </c>
      <c r="I343">
        <f>NETWORKDAYS(F343,G343)</f>
        <v/>
      </c>
      <c r="J343">
        <f>IF(H343=I343,"OK","CHECK")</f>
        <v/>
      </c>
    </row>
    <row r="344">
      <c r="A344" t="inlineStr">
        <is>
          <t>OS02850</t>
        </is>
      </c>
      <c r="B344" t="inlineStr">
        <is>
          <t>Q3 2026</t>
        </is>
      </c>
      <c r="C344" t="inlineStr">
        <is>
          <t>PU99</t>
        </is>
      </c>
      <c r="D344" t="inlineStr">
        <is>
          <t>New patient</t>
        </is>
      </c>
      <c r="E344" t="inlineStr">
        <is>
          <t>THERAPY_D</t>
        </is>
      </c>
      <c r="F344" s="10" t="n">
        <v>46195</v>
      </c>
      <c r="G344" s="10" t="n">
        <v>46224</v>
      </c>
      <c r="H344" t="n">
        <v>22</v>
      </c>
      <c r="I344">
        <f>NETWORKDAYS(F344,G344)</f>
        <v/>
      </c>
      <c r="J344">
        <f>IF(H344=I344,"OK","CHECK")</f>
        <v/>
      </c>
    </row>
    <row r="345">
      <c r="A345" t="inlineStr">
        <is>
          <t>OS02851</t>
        </is>
      </c>
      <c r="B345" t="inlineStr">
        <is>
          <t>Q3 2026</t>
        </is>
      </c>
      <c r="C345" t="inlineStr">
        <is>
          <t>PU05</t>
        </is>
      </c>
      <c r="D345" t="inlineStr">
        <is>
          <t>New patient</t>
        </is>
      </c>
      <c r="E345" t="inlineStr">
        <is>
          <t>THERAPY_G</t>
        </is>
      </c>
      <c r="F345" s="10" t="n">
        <v>46196</v>
      </c>
      <c r="G345" s="10" t="n">
        <v>46237</v>
      </c>
      <c r="H345" t="n">
        <v>30</v>
      </c>
      <c r="I345">
        <f>NETWORKDAYS(F345,G345)</f>
        <v/>
      </c>
      <c r="J345">
        <f>IF(H345=I345,"OK","CHECK")</f>
        <v/>
      </c>
    </row>
    <row r="346">
      <c r="A346" t="inlineStr">
        <is>
          <t>OS02852</t>
        </is>
      </c>
      <c r="B346" t="inlineStr">
        <is>
          <t>Q3 2026</t>
        </is>
      </c>
      <c r="C346" t="inlineStr">
        <is>
          <t>PU05</t>
        </is>
      </c>
      <c r="D346" t="inlineStr">
        <is>
          <t>New patient</t>
        </is>
      </c>
      <c r="E346" t="inlineStr">
        <is>
          <t>THERAPY_J</t>
        </is>
      </c>
      <c r="F346" s="10" t="n">
        <v>46196</v>
      </c>
      <c r="G346" s="10" t="n">
        <v>46252</v>
      </c>
      <c r="H346" t="n">
        <v>41</v>
      </c>
      <c r="I346">
        <f>NETWORKDAYS(F346,G346)</f>
        <v/>
      </c>
      <c r="J346">
        <f>IF(H346=I346,"OK","CHECK")</f>
        <v/>
      </c>
    </row>
    <row r="347">
      <c r="A347" t="inlineStr">
        <is>
          <t>OS02853</t>
        </is>
      </c>
      <c r="B347" t="inlineStr">
        <is>
          <t>Q3 2026</t>
        </is>
      </c>
      <c r="C347" t="inlineStr">
        <is>
          <t>PU99</t>
        </is>
      </c>
      <c r="D347" t="inlineStr">
        <is>
          <t>New therapy</t>
        </is>
      </c>
      <c r="E347" t="inlineStr">
        <is>
          <t>THERAPY_E</t>
        </is>
      </c>
      <c r="F347" s="10" t="n">
        <v>46196</v>
      </c>
      <c r="G347" s="10" t="n">
        <v>46225</v>
      </c>
      <c r="H347" t="n">
        <v>22</v>
      </c>
      <c r="I347">
        <f>NETWORKDAYS(F347,G347)</f>
        <v/>
      </c>
      <c r="J347">
        <f>IF(H347=I347,"OK","CHECK")</f>
        <v/>
      </c>
    </row>
    <row r="348">
      <c r="A348" t="inlineStr">
        <is>
          <t>OS02855</t>
        </is>
      </c>
      <c r="B348" t="inlineStr">
        <is>
          <t>Q3 2026</t>
        </is>
      </c>
      <c r="C348" t="inlineStr">
        <is>
          <t>PU04</t>
        </is>
      </c>
      <c r="D348" t="inlineStr">
        <is>
          <t>New patient</t>
        </is>
      </c>
      <c r="E348" t="inlineStr">
        <is>
          <t>THERAPY_D</t>
        </is>
      </c>
      <c r="F348" s="10" t="n">
        <v>46196</v>
      </c>
      <c r="G348" s="10" t="n">
        <v>46240</v>
      </c>
      <c r="H348" t="n">
        <v>33</v>
      </c>
      <c r="I348">
        <f>NETWORKDAYS(F348,G348)</f>
        <v/>
      </c>
      <c r="J348">
        <f>IF(H348=I348,"OK","CHECK")</f>
        <v/>
      </c>
    </row>
    <row r="349">
      <c r="A349" t="inlineStr">
        <is>
          <t>OS02857</t>
        </is>
      </c>
      <c r="B349" t="inlineStr">
        <is>
          <t>Q3 2026</t>
        </is>
      </c>
      <c r="C349" t="inlineStr">
        <is>
          <t>PU08</t>
        </is>
      </c>
      <c r="D349" t="inlineStr">
        <is>
          <t>New patient</t>
        </is>
      </c>
      <c r="E349" t="inlineStr">
        <is>
          <t>THERAPY_E</t>
        </is>
      </c>
      <c r="F349" s="10" t="n">
        <v>46196</v>
      </c>
      <c r="G349" s="10" t="n">
        <v>46218</v>
      </c>
      <c r="H349" t="n">
        <v>17</v>
      </c>
      <c r="I349">
        <f>NETWORKDAYS(F349,G349)</f>
        <v/>
      </c>
      <c r="J349">
        <f>IF(H349=I349,"OK","CHECK")</f>
        <v/>
      </c>
    </row>
    <row r="350">
      <c r="A350" t="inlineStr">
        <is>
          <t>OS02858</t>
        </is>
      </c>
      <c r="B350" t="inlineStr">
        <is>
          <t>Q3 2026</t>
        </is>
      </c>
      <c r="C350" t="inlineStr">
        <is>
          <t>PU10</t>
        </is>
      </c>
      <c r="D350" t="inlineStr">
        <is>
          <t>New patient</t>
        </is>
      </c>
      <c r="E350" t="inlineStr">
        <is>
          <t>THERAPY_A</t>
        </is>
      </c>
      <c r="F350" s="10" t="n">
        <v>46196</v>
      </c>
      <c r="G350" s="10" t="n">
        <v>46211</v>
      </c>
      <c r="H350" t="n">
        <v>12</v>
      </c>
      <c r="I350">
        <f>NETWORKDAYS(F350,G350)</f>
        <v/>
      </c>
      <c r="J350">
        <f>IF(H350=I350,"OK","CHECK")</f>
        <v/>
      </c>
    </row>
    <row r="351">
      <c r="A351" t="inlineStr">
        <is>
          <t>OS02860</t>
        </is>
      </c>
      <c r="B351" t="inlineStr">
        <is>
          <t>Q3 2026</t>
        </is>
      </c>
      <c r="C351" t="inlineStr">
        <is>
          <t>PU09</t>
        </is>
      </c>
      <c r="D351" t="inlineStr">
        <is>
          <t>New patient</t>
        </is>
      </c>
      <c r="E351" t="inlineStr">
        <is>
          <t>THERAPY_I</t>
        </is>
      </c>
      <c r="F351" s="10" t="n">
        <v>46197</v>
      </c>
      <c r="G351" s="10" t="n">
        <v>46238</v>
      </c>
      <c r="H351" t="n">
        <v>30</v>
      </c>
      <c r="I351">
        <f>NETWORKDAYS(F351,G351)</f>
        <v/>
      </c>
      <c r="J351">
        <f>IF(H351=I351,"OK","CHECK")</f>
        <v/>
      </c>
    </row>
    <row r="352">
      <c r="A352" t="inlineStr">
        <is>
          <t>OS02862</t>
        </is>
      </c>
      <c r="B352" t="inlineStr">
        <is>
          <t>Q3 2026</t>
        </is>
      </c>
      <c r="C352" t="inlineStr">
        <is>
          <t>PU01</t>
        </is>
      </c>
      <c r="D352" t="inlineStr">
        <is>
          <t>New patient</t>
        </is>
      </c>
      <c r="E352" t="inlineStr">
        <is>
          <t>THERAPY_D</t>
        </is>
      </c>
      <c r="F352" s="10" t="n">
        <v>46197</v>
      </c>
      <c r="G352" s="10" t="n">
        <v>46213</v>
      </c>
      <c r="H352" t="n">
        <v>13</v>
      </c>
      <c r="I352">
        <f>NETWORKDAYS(F352,G352)</f>
        <v/>
      </c>
      <c r="J352">
        <f>IF(H352=I352,"OK","CHECK")</f>
        <v/>
      </c>
    </row>
    <row r="353">
      <c r="A353" t="inlineStr">
        <is>
          <t>OS02866</t>
        </is>
      </c>
      <c r="B353" t="inlineStr">
        <is>
          <t>Q3 2026</t>
        </is>
      </c>
      <c r="C353" t="inlineStr">
        <is>
          <t>PU01</t>
        </is>
      </c>
      <c r="D353" t="inlineStr">
        <is>
          <t>New patient</t>
        </is>
      </c>
      <c r="E353" t="inlineStr">
        <is>
          <t>THERAPY_J</t>
        </is>
      </c>
      <c r="F353" s="10" t="n">
        <v>46197</v>
      </c>
      <c r="G353" s="10" t="n">
        <v>46234</v>
      </c>
      <c r="H353" t="n">
        <v>28</v>
      </c>
      <c r="I353">
        <f>NETWORKDAYS(F353,G353)</f>
        <v/>
      </c>
      <c r="J353">
        <f>IF(H353=I353,"OK","CHECK")</f>
        <v/>
      </c>
    </row>
    <row r="354">
      <c r="A354" t="inlineStr">
        <is>
          <t>OS02867</t>
        </is>
      </c>
      <c r="B354" t="inlineStr">
        <is>
          <t>Q3 2026</t>
        </is>
      </c>
      <c r="C354" t="inlineStr">
        <is>
          <t>PU04</t>
        </is>
      </c>
      <c r="D354" t="inlineStr">
        <is>
          <t>New patient</t>
        </is>
      </c>
      <c r="E354" t="inlineStr">
        <is>
          <t>THERAPY_A</t>
        </is>
      </c>
      <c r="F354" s="10" t="n">
        <v>46197</v>
      </c>
      <c r="G354" s="10" t="n">
        <v>46218</v>
      </c>
      <c r="H354" t="n">
        <v>16</v>
      </c>
      <c r="I354">
        <f>NETWORKDAYS(F354,G354)</f>
        <v/>
      </c>
      <c r="J354">
        <f>IF(H354=I354,"OK","CHECK")</f>
        <v/>
      </c>
    </row>
    <row r="355">
      <c r="A355" t="inlineStr">
        <is>
          <t>OS02868</t>
        </is>
      </c>
      <c r="B355" t="inlineStr">
        <is>
          <t>Q3 2026</t>
        </is>
      </c>
      <c r="C355" t="inlineStr">
        <is>
          <t>PU03</t>
        </is>
      </c>
      <c r="D355" t="inlineStr">
        <is>
          <t>New patient</t>
        </is>
      </c>
      <c r="E355" t="inlineStr">
        <is>
          <t>THERAPY_E</t>
        </is>
      </c>
      <c r="F355" s="10" t="n">
        <v>46198</v>
      </c>
      <c r="G355" s="10" t="n">
        <v>46237</v>
      </c>
      <c r="H355" t="n">
        <v>28</v>
      </c>
      <c r="I355">
        <f>NETWORKDAYS(F355,G355)</f>
        <v/>
      </c>
      <c r="J355">
        <f>IF(H355=I355,"OK","CHECK")</f>
        <v/>
      </c>
    </row>
    <row r="356">
      <c r="A356" t="inlineStr">
        <is>
          <t>OS02869</t>
        </is>
      </c>
      <c r="B356" t="inlineStr">
        <is>
          <t>Q3 2026</t>
        </is>
      </c>
      <c r="C356" t="inlineStr">
        <is>
          <t>PU04</t>
        </is>
      </c>
      <c r="D356" t="inlineStr">
        <is>
          <t>New therapy</t>
        </is>
      </c>
      <c r="E356" t="inlineStr">
        <is>
          <t>THERAPY_A</t>
        </is>
      </c>
      <c r="F356" s="10" t="n">
        <v>46198</v>
      </c>
      <c r="G356" s="10" t="n">
        <v>46240</v>
      </c>
      <c r="H356" t="n">
        <v>31</v>
      </c>
      <c r="I356">
        <f>NETWORKDAYS(F356,G356)</f>
        <v/>
      </c>
      <c r="J356">
        <f>IF(H356=I356,"OK","CHECK")</f>
        <v/>
      </c>
    </row>
    <row r="357">
      <c r="A357" t="inlineStr">
        <is>
          <t>OS02871</t>
        </is>
      </c>
      <c r="B357" t="inlineStr">
        <is>
          <t>Q3 2026</t>
        </is>
      </c>
      <c r="C357" t="inlineStr">
        <is>
          <t>PU05</t>
        </is>
      </c>
      <c r="D357" t="inlineStr">
        <is>
          <t>New patient</t>
        </is>
      </c>
      <c r="E357" t="inlineStr">
        <is>
          <t>THERAPY_C</t>
        </is>
      </c>
      <c r="F357" s="10" t="n">
        <v>46198</v>
      </c>
      <c r="G357" s="10" t="n">
        <v>46240</v>
      </c>
      <c r="H357" t="n">
        <v>31</v>
      </c>
      <c r="I357">
        <f>NETWORKDAYS(F357,G357)</f>
        <v/>
      </c>
      <c r="J357">
        <f>IF(H357=I357,"OK","CHECK")</f>
        <v/>
      </c>
    </row>
    <row r="358">
      <c r="A358" t="inlineStr">
        <is>
          <t>OS02872</t>
        </is>
      </c>
      <c r="B358" t="inlineStr">
        <is>
          <t>Q3 2026</t>
        </is>
      </c>
      <c r="C358" t="inlineStr">
        <is>
          <t>PU05</t>
        </is>
      </c>
      <c r="D358" t="inlineStr">
        <is>
          <t>New patient</t>
        </is>
      </c>
      <c r="E358" t="inlineStr">
        <is>
          <t>THERAPY_A</t>
        </is>
      </c>
      <c r="F358" s="10" t="n">
        <v>46198</v>
      </c>
      <c r="G358" s="10" t="n">
        <v>46224</v>
      </c>
      <c r="H358" t="n">
        <v>19</v>
      </c>
      <c r="I358">
        <f>NETWORKDAYS(F358,G358)</f>
        <v/>
      </c>
      <c r="J358">
        <f>IF(H358=I358,"OK","CHECK")</f>
        <v/>
      </c>
    </row>
    <row r="359">
      <c r="A359" t="inlineStr">
        <is>
          <t>OS02873</t>
        </is>
      </c>
      <c r="B359" t="inlineStr">
        <is>
          <t>Q3 2026</t>
        </is>
      </c>
      <c r="C359" t="inlineStr">
        <is>
          <t>PU09</t>
        </is>
      </c>
      <c r="D359" t="inlineStr">
        <is>
          <t>New patient</t>
        </is>
      </c>
      <c r="E359" t="inlineStr">
        <is>
          <t>THERAPY_I</t>
        </is>
      </c>
      <c r="F359" s="10" t="n">
        <v>46198</v>
      </c>
      <c r="G359" s="10" t="n">
        <v>46227</v>
      </c>
      <c r="H359" t="n">
        <v>22</v>
      </c>
      <c r="I359">
        <f>NETWORKDAYS(F359,G359)</f>
        <v/>
      </c>
      <c r="J359">
        <f>IF(H359=I359,"OK","CHECK")</f>
        <v/>
      </c>
    </row>
    <row r="360">
      <c r="A360" t="inlineStr">
        <is>
          <t>OS02874</t>
        </is>
      </c>
      <c r="B360" t="inlineStr">
        <is>
          <t>Q3 2026</t>
        </is>
      </c>
      <c r="C360" t="inlineStr">
        <is>
          <t>PU08</t>
        </is>
      </c>
      <c r="D360" t="inlineStr">
        <is>
          <t>New patient</t>
        </is>
      </c>
      <c r="E360" t="inlineStr">
        <is>
          <t>THERAPY_F</t>
        </is>
      </c>
      <c r="F360" s="10" t="n">
        <v>46198</v>
      </c>
      <c r="G360" s="10" t="n">
        <v>46237</v>
      </c>
      <c r="H360" t="n">
        <v>28</v>
      </c>
      <c r="I360">
        <f>NETWORKDAYS(F360,G360)</f>
        <v/>
      </c>
      <c r="J360">
        <f>IF(H360=I360,"OK","CHECK")</f>
        <v/>
      </c>
    </row>
    <row r="361">
      <c r="A361" t="inlineStr">
        <is>
          <t>OS02875</t>
        </is>
      </c>
      <c r="B361" t="inlineStr">
        <is>
          <t>Q3 2026</t>
        </is>
      </c>
      <c r="C361" t="inlineStr">
        <is>
          <t>PU08</t>
        </is>
      </c>
      <c r="D361" t="inlineStr">
        <is>
          <t>New patient</t>
        </is>
      </c>
      <c r="E361" t="inlineStr">
        <is>
          <t>THERAPY_G</t>
        </is>
      </c>
      <c r="F361" s="10" t="n">
        <v>46199</v>
      </c>
      <c r="G361" s="10" t="n">
        <v>46238</v>
      </c>
      <c r="H361" t="n">
        <v>28</v>
      </c>
      <c r="I361">
        <f>NETWORKDAYS(F361,G361)</f>
        <v/>
      </c>
      <c r="J361">
        <f>IF(H361=I361,"OK","CHECK")</f>
        <v/>
      </c>
    </row>
    <row r="362">
      <c r="A362" t="inlineStr">
        <is>
          <t>OS02876</t>
        </is>
      </c>
      <c r="B362" t="inlineStr">
        <is>
          <t>Q3 2026</t>
        </is>
      </c>
      <c r="C362" t="inlineStr">
        <is>
          <t>PU01</t>
        </is>
      </c>
      <c r="D362" t="inlineStr">
        <is>
          <t>New patient</t>
        </is>
      </c>
      <c r="E362" t="inlineStr">
        <is>
          <t>THERAPY_A</t>
        </is>
      </c>
      <c r="F362" s="10" t="n">
        <v>46199</v>
      </c>
      <c r="G362" s="10" t="n">
        <v>46233</v>
      </c>
      <c r="H362" t="n">
        <v>25</v>
      </c>
      <c r="I362">
        <f>NETWORKDAYS(F362,G362)</f>
        <v/>
      </c>
      <c r="J362">
        <f>IF(H362=I362,"OK","CHECK")</f>
        <v/>
      </c>
    </row>
    <row r="363">
      <c r="A363" t="inlineStr">
        <is>
          <t>OS02878</t>
        </is>
      </c>
      <c r="B363" t="inlineStr">
        <is>
          <t>Q3 2026</t>
        </is>
      </c>
      <c r="C363" t="inlineStr">
        <is>
          <t>PU01</t>
        </is>
      </c>
      <c r="D363" t="inlineStr">
        <is>
          <t>New patient</t>
        </is>
      </c>
      <c r="E363" t="inlineStr">
        <is>
          <t>THERAPY_B</t>
        </is>
      </c>
      <c r="F363" s="10" t="n">
        <v>46199</v>
      </c>
      <c r="G363" s="10" t="n">
        <v>46239</v>
      </c>
      <c r="H363" t="n">
        <v>29</v>
      </c>
      <c r="I363">
        <f>NETWORKDAYS(F363,G363)</f>
        <v/>
      </c>
      <c r="J363">
        <f>IF(H363=I363,"OK","CHECK")</f>
        <v/>
      </c>
    </row>
    <row r="364">
      <c r="A364" t="inlineStr">
        <is>
          <t>OS02880</t>
        </is>
      </c>
      <c r="B364" t="inlineStr">
        <is>
          <t>Q3 2026</t>
        </is>
      </c>
      <c r="C364" t="inlineStr">
        <is>
          <t>PU10</t>
        </is>
      </c>
      <c r="D364" t="inlineStr">
        <is>
          <t>New patient</t>
        </is>
      </c>
      <c r="E364" t="inlineStr">
        <is>
          <t>THERAPY_J</t>
        </is>
      </c>
      <c r="F364" s="10" t="n">
        <v>46202</v>
      </c>
      <c r="G364" s="10" t="n">
        <v>46217</v>
      </c>
      <c r="H364" t="n">
        <v>12</v>
      </c>
      <c r="I364">
        <f>NETWORKDAYS(F364,G364)</f>
        <v/>
      </c>
      <c r="J364">
        <f>IF(H364=I364,"OK","CHECK")</f>
        <v/>
      </c>
    </row>
    <row r="365">
      <c r="A365" t="inlineStr">
        <is>
          <t>OS02881</t>
        </is>
      </c>
      <c r="B365" t="inlineStr">
        <is>
          <t>Q3 2026</t>
        </is>
      </c>
      <c r="C365" t="inlineStr">
        <is>
          <t>PU01</t>
        </is>
      </c>
      <c r="D365" t="inlineStr">
        <is>
          <t>New therapy</t>
        </is>
      </c>
      <c r="E365" t="inlineStr">
        <is>
          <t>THERAPY_F</t>
        </is>
      </c>
      <c r="F365" s="10" t="n">
        <v>46202</v>
      </c>
      <c r="G365" s="10" t="n">
        <v>46233</v>
      </c>
      <c r="H365" t="n">
        <v>24</v>
      </c>
      <c r="I365">
        <f>NETWORKDAYS(F365,G365)</f>
        <v/>
      </c>
      <c r="J365">
        <f>IF(H365=I365,"OK","CHECK")</f>
        <v/>
      </c>
    </row>
    <row r="366">
      <c r="A366" t="inlineStr">
        <is>
          <t>OS02888</t>
        </is>
      </c>
      <c r="B366" t="inlineStr">
        <is>
          <t>Q3 2026</t>
        </is>
      </c>
      <c r="C366" t="inlineStr">
        <is>
          <t>PU09</t>
        </is>
      </c>
      <c r="D366" t="inlineStr">
        <is>
          <t>New patient</t>
        </is>
      </c>
      <c r="E366" t="inlineStr">
        <is>
          <t>THERAPY_B</t>
        </is>
      </c>
      <c r="F366" s="10" t="n">
        <v>46203</v>
      </c>
      <c r="G366" s="10" t="n">
        <v>46265</v>
      </c>
      <c r="H366" t="n">
        <v>45</v>
      </c>
      <c r="I366">
        <f>NETWORKDAYS(F366,G366)</f>
        <v/>
      </c>
      <c r="J366">
        <f>IF(H366=I366,"OK","CHECK")</f>
        <v/>
      </c>
    </row>
    <row r="367">
      <c r="A367" t="inlineStr">
        <is>
          <t>OS02891</t>
        </is>
      </c>
      <c r="B367" t="inlineStr">
        <is>
          <t>Q3 2026</t>
        </is>
      </c>
      <c r="C367" t="inlineStr">
        <is>
          <t>PU07</t>
        </is>
      </c>
      <c r="D367" t="inlineStr">
        <is>
          <t>New patient</t>
        </is>
      </c>
      <c r="E367" t="inlineStr">
        <is>
          <t>THERAPY_A</t>
        </is>
      </c>
      <c r="F367" s="10" t="n">
        <v>46203</v>
      </c>
      <c r="G367" s="10" t="n">
        <v>46232</v>
      </c>
      <c r="H367" t="n">
        <v>22</v>
      </c>
      <c r="I367">
        <f>NETWORKDAYS(F367,G367)</f>
        <v/>
      </c>
      <c r="J367">
        <f>IF(H367=I367,"OK","CHECK")</f>
        <v/>
      </c>
    </row>
    <row r="368">
      <c r="A368" t="inlineStr">
        <is>
          <t>OS02892</t>
        </is>
      </c>
      <c r="B368" t="inlineStr">
        <is>
          <t>Q3 2026</t>
        </is>
      </c>
      <c r="C368" t="inlineStr">
        <is>
          <t>PU05</t>
        </is>
      </c>
      <c r="D368" t="inlineStr">
        <is>
          <t>New patient</t>
        </is>
      </c>
      <c r="E368" t="inlineStr">
        <is>
          <t>THERAPY_G</t>
        </is>
      </c>
      <c r="F368" s="10" t="n">
        <v>46203</v>
      </c>
      <c r="G368" s="10" t="n">
        <v>46225</v>
      </c>
      <c r="H368" t="n">
        <v>17</v>
      </c>
      <c r="I368">
        <f>NETWORKDAYS(F368,G368)</f>
        <v/>
      </c>
      <c r="J368">
        <f>IF(H368=I368,"OK","CHECK")</f>
        <v/>
      </c>
    </row>
    <row r="369">
      <c r="A369" t="inlineStr">
        <is>
          <t>OS02895</t>
        </is>
      </c>
      <c r="B369" t="inlineStr">
        <is>
          <t>Q3 2026</t>
        </is>
      </c>
      <c r="C369" t="inlineStr">
        <is>
          <t>PU01</t>
        </is>
      </c>
      <c r="D369" t="inlineStr">
        <is>
          <t>New patient</t>
        </is>
      </c>
      <c r="E369" t="inlineStr">
        <is>
          <t>THERAPY_A</t>
        </is>
      </c>
      <c r="F369" s="10" t="n">
        <v>46203</v>
      </c>
      <c r="G369" s="10" t="n">
        <v>46237</v>
      </c>
      <c r="H369" t="n">
        <v>25</v>
      </c>
      <c r="I369">
        <f>NETWORKDAYS(F369,G369)</f>
        <v/>
      </c>
      <c r="J369">
        <f>IF(H369=I369,"OK","CHECK")</f>
        <v/>
      </c>
    </row>
    <row r="370">
      <c r="A370" t="inlineStr">
        <is>
          <t>OS02896</t>
        </is>
      </c>
      <c r="B370" t="inlineStr">
        <is>
          <t>Q3 2026</t>
        </is>
      </c>
      <c r="C370" t="inlineStr">
        <is>
          <t>PU01</t>
        </is>
      </c>
      <c r="D370" t="inlineStr">
        <is>
          <t>New patient</t>
        </is>
      </c>
      <c r="E370" t="inlineStr">
        <is>
          <t>THERAPY_E</t>
        </is>
      </c>
      <c r="F370" s="10" t="n">
        <v>46203</v>
      </c>
      <c r="G370" s="10" t="n">
        <v>46225</v>
      </c>
      <c r="H370" t="n">
        <v>17</v>
      </c>
      <c r="I370">
        <f>NETWORKDAYS(F370,G370)</f>
        <v/>
      </c>
      <c r="J370">
        <f>IF(H370=I370,"OK","CHECK")</f>
        <v/>
      </c>
    </row>
    <row r="371">
      <c r="A371" t="inlineStr">
        <is>
          <t>OS02897</t>
        </is>
      </c>
      <c r="B371" t="inlineStr">
        <is>
          <t>Q3 2026</t>
        </is>
      </c>
      <c r="C371" t="inlineStr">
        <is>
          <t>PU04</t>
        </is>
      </c>
      <c r="D371" t="inlineStr">
        <is>
          <t>New patient</t>
        </is>
      </c>
      <c r="E371" t="inlineStr">
        <is>
          <t>THERAPY_F</t>
        </is>
      </c>
      <c r="F371" s="10" t="n">
        <v>46203</v>
      </c>
      <c r="G371" s="10" t="n">
        <v>46239</v>
      </c>
      <c r="H371" t="n">
        <v>27</v>
      </c>
      <c r="I371">
        <f>NETWORKDAYS(F371,G371)</f>
        <v/>
      </c>
      <c r="J371">
        <f>IF(H371=I371,"OK","CHECK")</f>
        <v/>
      </c>
    </row>
    <row r="372">
      <c r="A372" t="inlineStr">
        <is>
          <t>OS02898</t>
        </is>
      </c>
      <c r="B372" t="inlineStr">
        <is>
          <t>Q3 2026</t>
        </is>
      </c>
      <c r="C372" t="inlineStr">
        <is>
          <t>PU06</t>
        </is>
      </c>
      <c r="D372" t="inlineStr">
        <is>
          <t>New patient</t>
        </is>
      </c>
      <c r="E372" t="inlineStr">
        <is>
          <t>THERAPY_F</t>
        </is>
      </c>
      <c r="F372" s="10" t="n">
        <v>46203</v>
      </c>
      <c r="G372" s="10" t="n">
        <v>46225</v>
      </c>
      <c r="H372" t="n">
        <v>17</v>
      </c>
      <c r="I372">
        <f>NETWORKDAYS(F372,G372)</f>
        <v/>
      </c>
      <c r="J372">
        <f>IF(H372=I372,"OK","CHECK")</f>
        <v/>
      </c>
    </row>
    <row r="373">
      <c r="A373" t="inlineStr">
        <is>
          <t>OS02899</t>
        </is>
      </c>
      <c r="B373" t="inlineStr">
        <is>
          <t>Q3 2026</t>
        </is>
      </c>
      <c r="C373" t="inlineStr">
        <is>
          <t>PU07</t>
        </is>
      </c>
      <c r="D373" t="inlineStr">
        <is>
          <t>New patient</t>
        </is>
      </c>
      <c r="E373" t="inlineStr">
        <is>
          <t>THERAPY_E</t>
        </is>
      </c>
      <c r="F373" s="10" t="n">
        <v>46203</v>
      </c>
      <c r="G373" s="10" t="n">
        <v>46224</v>
      </c>
      <c r="H373" t="n">
        <v>16</v>
      </c>
      <c r="I373">
        <f>NETWORKDAYS(F373,G373)</f>
        <v/>
      </c>
      <c r="J373">
        <f>IF(H373=I373,"OK","CHECK")</f>
        <v/>
      </c>
    </row>
    <row r="374">
      <c r="A374" t="inlineStr">
        <is>
          <t>OS02902</t>
        </is>
      </c>
      <c r="B374" t="inlineStr">
        <is>
          <t>Q3 2026</t>
        </is>
      </c>
      <c r="C374" t="inlineStr">
        <is>
          <t>PU05</t>
        </is>
      </c>
      <c r="D374" t="inlineStr">
        <is>
          <t>New patient</t>
        </is>
      </c>
      <c r="E374" t="inlineStr">
        <is>
          <t>THERAPY_E</t>
        </is>
      </c>
      <c r="F374" s="10" t="n">
        <v>46204</v>
      </c>
      <c r="G374" s="10" t="n">
        <v>46252</v>
      </c>
      <c r="H374" t="n">
        <v>35</v>
      </c>
      <c r="I374">
        <f>NETWORKDAYS(F374,G374)</f>
        <v/>
      </c>
      <c r="J374">
        <f>IF(H374=I374,"OK","CHECK")</f>
        <v/>
      </c>
    </row>
    <row r="375">
      <c r="A375" t="inlineStr">
        <is>
          <t>OS02904</t>
        </is>
      </c>
      <c r="B375" t="inlineStr">
        <is>
          <t>Q3 2026</t>
        </is>
      </c>
      <c r="C375" t="inlineStr">
        <is>
          <t>PU08</t>
        </is>
      </c>
      <c r="D375" t="inlineStr">
        <is>
          <t>New patient</t>
        </is>
      </c>
      <c r="E375" t="inlineStr">
        <is>
          <t>THERAPY_I</t>
        </is>
      </c>
      <c r="F375" s="10" t="n">
        <v>46204</v>
      </c>
      <c r="G375" s="10" t="n">
        <v>46225</v>
      </c>
      <c r="H375" t="n">
        <v>16</v>
      </c>
      <c r="I375">
        <f>NETWORKDAYS(F375,G375)</f>
        <v/>
      </c>
      <c r="J375">
        <f>IF(H375=I375,"OK","CHECK")</f>
        <v/>
      </c>
    </row>
    <row r="376">
      <c r="A376" t="inlineStr">
        <is>
          <t>OS02907</t>
        </is>
      </c>
      <c r="B376" t="inlineStr">
        <is>
          <t>Q3 2026</t>
        </is>
      </c>
      <c r="C376" t="inlineStr">
        <is>
          <t>PU05</t>
        </is>
      </c>
      <c r="D376" t="inlineStr">
        <is>
          <t>New patient</t>
        </is>
      </c>
      <c r="E376" t="inlineStr">
        <is>
          <t>THERAPY_G</t>
        </is>
      </c>
      <c r="F376" s="10" t="n">
        <v>46204</v>
      </c>
      <c r="G376" s="10" t="n">
        <v>46253</v>
      </c>
      <c r="H376" t="n">
        <v>36</v>
      </c>
      <c r="I376">
        <f>NETWORKDAYS(F376,G376)</f>
        <v/>
      </c>
      <c r="J376">
        <f>IF(H376=I376,"OK","CHECK")</f>
        <v/>
      </c>
    </row>
    <row r="377">
      <c r="A377" t="inlineStr">
        <is>
          <t>OS02908</t>
        </is>
      </c>
      <c r="B377" t="inlineStr">
        <is>
          <t>Q3 2026</t>
        </is>
      </c>
      <c r="C377" t="inlineStr">
        <is>
          <t>PU06</t>
        </is>
      </c>
      <c r="D377" t="inlineStr">
        <is>
          <t>New therapy</t>
        </is>
      </c>
      <c r="E377" t="inlineStr">
        <is>
          <t>THERAPY_J</t>
        </is>
      </c>
      <c r="F377" s="10" t="n">
        <v>46204</v>
      </c>
      <c r="G377" s="10" t="n">
        <v>46226</v>
      </c>
      <c r="H377" t="n">
        <v>17</v>
      </c>
      <c r="I377">
        <f>NETWORKDAYS(F377,G377)</f>
        <v/>
      </c>
      <c r="J377">
        <f>IF(H377=I377,"OK","CHECK")</f>
        <v/>
      </c>
    </row>
    <row r="378">
      <c r="A378" t="inlineStr">
        <is>
          <t>OS02911</t>
        </is>
      </c>
      <c r="B378" t="inlineStr">
        <is>
          <t>Q3 2026</t>
        </is>
      </c>
      <c r="C378" t="inlineStr">
        <is>
          <t>PU07</t>
        </is>
      </c>
      <c r="D378" t="inlineStr">
        <is>
          <t>New patient</t>
        </is>
      </c>
      <c r="E378" t="inlineStr">
        <is>
          <t>THERAPY_B</t>
        </is>
      </c>
      <c r="F378" s="10" t="n">
        <v>46204</v>
      </c>
      <c r="G378" s="10" t="n">
        <v>46231</v>
      </c>
      <c r="H378" t="n">
        <v>20</v>
      </c>
      <c r="I378">
        <f>NETWORKDAYS(F378,G378)</f>
        <v/>
      </c>
      <c r="J378">
        <f>IF(H378=I378,"OK","CHECK")</f>
        <v/>
      </c>
    </row>
    <row r="379">
      <c r="A379" t="inlineStr">
        <is>
          <t>OS02914</t>
        </is>
      </c>
      <c r="B379" t="inlineStr">
        <is>
          <t>Q3 2026</t>
        </is>
      </c>
      <c r="C379" t="inlineStr">
        <is>
          <t>PU04</t>
        </is>
      </c>
      <c r="D379" t="inlineStr">
        <is>
          <t>New therapy</t>
        </is>
      </c>
      <c r="E379" t="inlineStr">
        <is>
          <t>THERAPY_F</t>
        </is>
      </c>
      <c r="F379" s="10" t="n">
        <v>46204</v>
      </c>
      <c r="G379" s="10" t="n">
        <v>46244</v>
      </c>
      <c r="H379" t="n">
        <v>29</v>
      </c>
      <c r="I379">
        <f>NETWORKDAYS(F379,G379)</f>
        <v/>
      </c>
      <c r="J379">
        <f>IF(H379=I379,"OK","CHECK")</f>
        <v/>
      </c>
    </row>
    <row r="380">
      <c r="A380" t="inlineStr">
        <is>
          <t>OS02915</t>
        </is>
      </c>
      <c r="B380" t="inlineStr">
        <is>
          <t>Q3 2026</t>
        </is>
      </c>
      <c r="C380" t="inlineStr">
        <is>
          <t>PU03</t>
        </is>
      </c>
      <c r="D380" t="inlineStr">
        <is>
          <t>New patient</t>
        </is>
      </c>
      <c r="E380" t="inlineStr">
        <is>
          <t>THERAPY_A</t>
        </is>
      </c>
      <c r="F380" s="10" t="n">
        <v>46204</v>
      </c>
      <c r="G380" s="10" t="n">
        <v>46230</v>
      </c>
      <c r="H380" t="n">
        <v>19</v>
      </c>
      <c r="I380">
        <f>NETWORKDAYS(F380,G380)</f>
        <v/>
      </c>
      <c r="J380">
        <f>IF(H380=I380,"OK","CHECK")</f>
        <v/>
      </c>
    </row>
    <row r="381">
      <c r="A381" t="inlineStr">
        <is>
          <t>OS02917</t>
        </is>
      </c>
      <c r="B381" t="inlineStr">
        <is>
          <t>Q3 2026</t>
        </is>
      </c>
      <c r="C381" t="inlineStr">
        <is>
          <t>PU99</t>
        </is>
      </c>
      <c r="D381" t="inlineStr">
        <is>
          <t>New patient</t>
        </is>
      </c>
      <c r="E381" t="inlineStr">
        <is>
          <t>THERAPY_F</t>
        </is>
      </c>
      <c r="F381" s="10" t="n">
        <v>46205</v>
      </c>
      <c r="G381" s="10" t="n">
        <v>46246</v>
      </c>
      <c r="H381" t="n">
        <v>30</v>
      </c>
      <c r="I381">
        <f>NETWORKDAYS(F381,G381)</f>
        <v/>
      </c>
      <c r="J381">
        <f>IF(H381=I381,"OK","CHECK")</f>
        <v/>
      </c>
    </row>
    <row r="382">
      <c r="A382" t="inlineStr">
        <is>
          <t>OS02921</t>
        </is>
      </c>
      <c r="B382" t="inlineStr">
        <is>
          <t>Q3 2026</t>
        </is>
      </c>
      <c r="C382" t="inlineStr">
        <is>
          <t>PU01</t>
        </is>
      </c>
      <c r="D382" t="inlineStr">
        <is>
          <t>New patient</t>
        </is>
      </c>
      <c r="E382" t="inlineStr">
        <is>
          <t>THERAPY_F</t>
        </is>
      </c>
      <c r="F382" s="10" t="n">
        <v>46205</v>
      </c>
      <c r="G382" s="10" t="n">
        <v>46234</v>
      </c>
      <c r="H382" t="n">
        <v>22</v>
      </c>
      <c r="I382">
        <f>NETWORKDAYS(F382,G382)</f>
        <v/>
      </c>
      <c r="J382">
        <f>IF(H382=I382,"OK","CHECK")</f>
        <v/>
      </c>
    </row>
    <row r="383">
      <c r="A383" t="inlineStr">
        <is>
          <t>OS02922</t>
        </is>
      </c>
      <c r="B383" t="inlineStr">
        <is>
          <t>Q3 2026</t>
        </is>
      </c>
      <c r="C383" t="inlineStr">
        <is>
          <t>PU99</t>
        </is>
      </c>
      <c r="D383" t="inlineStr">
        <is>
          <t>New patient</t>
        </is>
      </c>
      <c r="E383" t="inlineStr">
        <is>
          <t>THERAPY_F</t>
        </is>
      </c>
      <c r="F383" s="10" t="n">
        <v>46205</v>
      </c>
      <c r="G383" s="10" t="n">
        <v>46260</v>
      </c>
      <c r="H383" t="n">
        <v>40</v>
      </c>
      <c r="I383">
        <f>NETWORKDAYS(F383,G383)</f>
        <v/>
      </c>
      <c r="J383">
        <f>IF(H383=I383,"OK","CHECK")</f>
        <v/>
      </c>
    </row>
    <row r="384">
      <c r="A384" t="inlineStr">
        <is>
          <t>OS02925</t>
        </is>
      </c>
      <c r="B384" t="inlineStr">
        <is>
          <t>Q3 2026</t>
        </is>
      </c>
      <c r="C384" t="inlineStr">
        <is>
          <t>PU03</t>
        </is>
      </c>
      <c r="D384" t="inlineStr">
        <is>
          <t>New patient</t>
        </is>
      </c>
      <c r="E384" t="inlineStr">
        <is>
          <t>THERAPY_A</t>
        </is>
      </c>
      <c r="F384" s="10" t="n">
        <v>46209</v>
      </c>
      <c r="G384" s="10" t="n">
        <v>46247</v>
      </c>
      <c r="H384" t="n">
        <v>29</v>
      </c>
      <c r="I384">
        <f>NETWORKDAYS(F384,G384)</f>
        <v/>
      </c>
      <c r="J384">
        <f>IF(H384=I384,"OK","CHECK")</f>
        <v/>
      </c>
    </row>
    <row r="385">
      <c r="A385" t="inlineStr">
        <is>
          <t>OS02926</t>
        </is>
      </c>
      <c r="B385" t="inlineStr">
        <is>
          <t>Q3 2026</t>
        </is>
      </c>
      <c r="C385" t="inlineStr">
        <is>
          <t>PU07</t>
        </is>
      </c>
      <c r="D385" t="inlineStr">
        <is>
          <t>New patient</t>
        </is>
      </c>
      <c r="E385" t="inlineStr">
        <is>
          <t>THERAPY_E</t>
        </is>
      </c>
      <c r="F385" s="10" t="n">
        <v>46209</v>
      </c>
      <c r="G385" s="10" t="n">
        <v>46226</v>
      </c>
      <c r="H385" t="n">
        <v>14</v>
      </c>
      <c r="I385">
        <f>NETWORKDAYS(F385,G385)</f>
        <v/>
      </c>
      <c r="J385">
        <f>IF(H385=I385,"OK","CHECK")</f>
        <v/>
      </c>
    </row>
    <row r="386">
      <c r="A386" t="inlineStr">
        <is>
          <t>OS02927</t>
        </is>
      </c>
      <c r="B386" t="inlineStr">
        <is>
          <t>Q3 2026</t>
        </is>
      </c>
      <c r="C386" t="inlineStr">
        <is>
          <t>PU02</t>
        </is>
      </c>
      <c r="D386" t="inlineStr">
        <is>
          <t>New patient</t>
        </is>
      </c>
      <c r="E386" t="inlineStr">
        <is>
          <t>THERAPY_E</t>
        </is>
      </c>
      <c r="F386" s="10" t="n">
        <v>46209</v>
      </c>
      <c r="G386" s="10" t="n">
        <v>46254</v>
      </c>
      <c r="H386" t="n">
        <v>34</v>
      </c>
      <c r="I386">
        <f>NETWORKDAYS(F386,G386)</f>
        <v/>
      </c>
      <c r="J386">
        <f>IF(H386=I386,"OK","CHECK")</f>
        <v/>
      </c>
    </row>
    <row r="387">
      <c r="A387" t="inlineStr">
        <is>
          <t>OS02928</t>
        </is>
      </c>
      <c r="B387" t="inlineStr">
        <is>
          <t>Q3 2026</t>
        </is>
      </c>
      <c r="C387" t="inlineStr">
        <is>
          <t>PU03</t>
        </is>
      </c>
      <c r="D387" t="inlineStr">
        <is>
          <t>New patient</t>
        </is>
      </c>
      <c r="E387" t="inlineStr">
        <is>
          <t>THERAPY_F</t>
        </is>
      </c>
      <c r="F387" s="10" t="n">
        <v>46209</v>
      </c>
      <c r="G387" s="10" t="n">
        <v>46247</v>
      </c>
      <c r="H387" t="n">
        <v>29</v>
      </c>
      <c r="I387">
        <f>NETWORKDAYS(F387,G387)</f>
        <v/>
      </c>
      <c r="J387">
        <f>IF(H387=I387,"OK","CHECK")</f>
        <v/>
      </c>
    </row>
    <row r="388">
      <c r="A388" t="inlineStr">
        <is>
          <t>OS02929</t>
        </is>
      </c>
      <c r="B388" t="inlineStr">
        <is>
          <t>Q3 2026</t>
        </is>
      </c>
      <c r="C388" t="inlineStr">
        <is>
          <t>PU01</t>
        </is>
      </c>
      <c r="D388" t="inlineStr">
        <is>
          <t>New patient</t>
        </is>
      </c>
      <c r="E388" t="inlineStr">
        <is>
          <t>THERAPY_E</t>
        </is>
      </c>
      <c r="F388" s="10" t="n">
        <v>46209</v>
      </c>
      <c r="G388" s="10" t="n">
        <v>46238</v>
      </c>
      <c r="H388" t="n">
        <v>22</v>
      </c>
      <c r="I388">
        <f>NETWORKDAYS(F388,G388)</f>
        <v/>
      </c>
      <c r="J388">
        <f>IF(H388=I388,"OK","CHECK")</f>
        <v/>
      </c>
    </row>
    <row r="389">
      <c r="A389" t="inlineStr">
        <is>
          <t>OS02932</t>
        </is>
      </c>
      <c r="B389" t="inlineStr">
        <is>
          <t>Q3 2026</t>
        </is>
      </c>
      <c r="C389" t="inlineStr">
        <is>
          <t>PU01</t>
        </is>
      </c>
      <c r="D389" t="inlineStr">
        <is>
          <t>New patient</t>
        </is>
      </c>
      <c r="E389" t="inlineStr">
        <is>
          <t>THERAPY_I</t>
        </is>
      </c>
      <c r="F389" s="10" t="n">
        <v>46209</v>
      </c>
      <c r="G389" s="10" t="n">
        <v>46223</v>
      </c>
      <c r="H389" t="n">
        <v>11</v>
      </c>
      <c r="I389">
        <f>NETWORKDAYS(F389,G389)</f>
        <v/>
      </c>
      <c r="J389">
        <f>IF(H389=I389,"OK","CHECK")</f>
        <v/>
      </c>
    </row>
    <row r="390">
      <c r="A390" t="inlineStr">
        <is>
          <t>OS02934</t>
        </is>
      </c>
      <c r="B390" t="inlineStr">
        <is>
          <t>Q3 2026</t>
        </is>
      </c>
      <c r="C390" t="inlineStr">
        <is>
          <t>PU07</t>
        </is>
      </c>
      <c r="D390" t="inlineStr">
        <is>
          <t>New patient</t>
        </is>
      </c>
      <c r="E390" t="inlineStr">
        <is>
          <t>THERAPY_E</t>
        </is>
      </c>
      <c r="F390" s="10" t="n">
        <v>46209</v>
      </c>
      <c r="G390" s="10" t="n">
        <v>46230</v>
      </c>
      <c r="H390" t="n">
        <v>16</v>
      </c>
      <c r="I390">
        <f>NETWORKDAYS(F390,G390)</f>
        <v/>
      </c>
      <c r="J390">
        <f>IF(H390=I390,"OK","CHECK")</f>
        <v/>
      </c>
    </row>
    <row r="391">
      <c r="A391" t="inlineStr">
        <is>
          <t>OS02937</t>
        </is>
      </c>
      <c r="B391" t="inlineStr">
        <is>
          <t>Q3 2026</t>
        </is>
      </c>
      <c r="C391" t="inlineStr">
        <is>
          <t>PU01</t>
        </is>
      </c>
      <c r="D391" t="inlineStr">
        <is>
          <t>New patient</t>
        </is>
      </c>
      <c r="E391" t="inlineStr">
        <is>
          <t>THERAPY_C</t>
        </is>
      </c>
      <c r="F391" s="10" t="n">
        <v>46210</v>
      </c>
      <c r="G391" s="10" t="n">
        <v>46239</v>
      </c>
      <c r="H391" t="n">
        <v>22</v>
      </c>
      <c r="I391">
        <f>NETWORKDAYS(F391,G391)</f>
        <v/>
      </c>
      <c r="J391">
        <f>IF(H391=I391,"OK","CHECK")</f>
        <v/>
      </c>
    </row>
    <row r="392">
      <c r="A392" t="inlineStr">
        <is>
          <t>OS02938</t>
        </is>
      </c>
      <c r="B392" t="inlineStr">
        <is>
          <t>Q3 2026</t>
        </is>
      </c>
      <c r="C392" t="inlineStr">
        <is>
          <t>PU05</t>
        </is>
      </c>
      <c r="D392" t="inlineStr">
        <is>
          <t>New patient</t>
        </is>
      </c>
      <c r="E392" t="inlineStr">
        <is>
          <t>THERAPY_E</t>
        </is>
      </c>
      <c r="F392" s="10" t="n">
        <v>46210</v>
      </c>
      <c r="G392" s="10" t="n">
        <v>46237</v>
      </c>
      <c r="H392" t="n">
        <v>20</v>
      </c>
      <c r="I392">
        <f>NETWORKDAYS(F392,G392)</f>
        <v/>
      </c>
      <c r="J392">
        <f>IF(H392=I392,"OK","CHECK")</f>
        <v/>
      </c>
    </row>
    <row r="393">
      <c r="A393" t="inlineStr">
        <is>
          <t>OS02939</t>
        </is>
      </c>
      <c r="B393" t="inlineStr">
        <is>
          <t>Q3 2026</t>
        </is>
      </c>
      <c r="C393" t="inlineStr">
        <is>
          <t>PU08</t>
        </is>
      </c>
      <c r="D393" t="inlineStr">
        <is>
          <t>New patient</t>
        </is>
      </c>
      <c r="E393" t="inlineStr">
        <is>
          <t>THERAPY_F</t>
        </is>
      </c>
      <c r="F393" s="10" t="n">
        <v>46210</v>
      </c>
      <c r="G393" s="10" t="n">
        <v>46238</v>
      </c>
      <c r="H393" t="n">
        <v>21</v>
      </c>
      <c r="I393">
        <f>NETWORKDAYS(F393,G393)</f>
        <v/>
      </c>
      <c r="J393">
        <f>IF(H393=I393,"OK","CHECK")</f>
        <v/>
      </c>
    </row>
    <row r="394">
      <c r="A394" t="inlineStr">
        <is>
          <t>OS02941</t>
        </is>
      </c>
      <c r="B394" t="inlineStr">
        <is>
          <t>Q3 2026</t>
        </is>
      </c>
      <c r="C394" t="inlineStr">
        <is>
          <t>PU04</t>
        </is>
      </c>
      <c r="D394" t="inlineStr">
        <is>
          <t>New patient</t>
        </is>
      </c>
      <c r="E394" t="inlineStr">
        <is>
          <t>THERAPY_J</t>
        </is>
      </c>
      <c r="F394" s="10" t="n">
        <v>46210</v>
      </c>
      <c r="G394" s="10" t="n">
        <v>46237</v>
      </c>
      <c r="H394" t="n">
        <v>20</v>
      </c>
      <c r="I394">
        <f>NETWORKDAYS(F394,G394)</f>
        <v/>
      </c>
      <c r="J394">
        <f>IF(H394=I394,"OK","CHECK")</f>
        <v/>
      </c>
    </row>
    <row r="395">
      <c r="A395" t="inlineStr">
        <is>
          <t>OS02942</t>
        </is>
      </c>
      <c r="B395" t="inlineStr">
        <is>
          <t>Q3 2026</t>
        </is>
      </c>
      <c r="C395" t="inlineStr">
        <is>
          <t>PU08</t>
        </is>
      </c>
      <c r="D395" t="inlineStr">
        <is>
          <t>New patient</t>
        </is>
      </c>
      <c r="E395" t="inlineStr">
        <is>
          <t>THERAPY_I</t>
        </is>
      </c>
      <c r="F395" s="10" t="n">
        <v>46210</v>
      </c>
      <c r="G395" s="10" t="n">
        <v>46233</v>
      </c>
      <c r="H395" t="n">
        <v>18</v>
      </c>
      <c r="I395">
        <f>NETWORKDAYS(F395,G395)</f>
        <v/>
      </c>
      <c r="J395">
        <f>IF(H395=I395,"OK","CHECK")</f>
        <v/>
      </c>
    </row>
    <row r="396">
      <c r="A396" t="inlineStr">
        <is>
          <t>OS02945</t>
        </is>
      </c>
      <c r="B396" t="inlineStr">
        <is>
          <t>Q3 2026</t>
        </is>
      </c>
      <c r="C396" t="inlineStr">
        <is>
          <t>PU01</t>
        </is>
      </c>
      <c r="D396" t="inlineStr">
        <is>
          <t>New patient</t>
        </is>
      </c>
      <c r="E396" t="inlineStr">
        <is>
          <t>THERAPY_D</t>
        </is>
      </c>
      <c r="F396" s="10" t="n">
        <v>46210</v>
      </c>
      <c r="G396" s="10" t="n">
        <v>46230</v>
      </c>
      <c r="H396" t="n">
        <v>15</v>
      </c>
      <c r="I396">
        <f>NETWORKDAYS(F396,G396)</f>
        <v/>
      </c>
      <c r="J396">
        <f>IF(H396=I396,"OK","CHECK")</f>
        <v/>
      </c>
    </row>
    <row r="397">
      <c r="A397" t="inlineStr">
        <is>
          <t>OS02946</t>
        </is>
      </c>
      <c r="B397" t="inlineStr">
        <is>
          <t>Q3 2026</t>
        </is>
      </c>
      <c r="C397" t="inlineStr">
        <is>
          <t>PU03</t>
        </is>
      </c>
      <c r="D397" t="inlineStr">
        <is>
          <t>New patient</t>
        </is>
      </c>
      <c r="E397" t="inlineStr">
        <is>
          <t>THERAPY_H</t>
        </is>
      </c>
      <c r="F397" s="10" t="n">
        <v>46210</v>
      </c>
      <c r="G397" s="10" t="n">
        <v>46251</v>
      </c>
      <c r="H397" t="n">
        <v>30</v>
      </c>
      <c r="I397">
        <f>NETWORKDAYS(F397,G397)</f>
        <v/>
      </c>
      <c r="J397">
        <f>IF(H397=I397,"OK","CHECK")</f>
        <v/>
      </c>
    </row>
    <row r="398">
      <c r="A398" t="inlineStr">
        <is>
          <t>OS02948</t>
        </is>
      </c>
      <c r="B398" t="inlineStr">
        <is>
          <t>Q3 2026</t>
        </is>
      </c>
      <c r="C398" t="inlineStr">
        <is>
          <t>PU04</t>
        </is>
      </c>
      <c r="D398" t="inlineStr">
        <is>
          <t>New patient</t>
        </is>
      </c>
      <c r="E398" t="inlineStr">
        <is>
          <t>THERAPY_C</t>
        </is>
      </c>
      <c r="F398" s="10" t="n">
        <v>46211</v>
      </c>
      <c r="G398" s="10" t="n">
        <v>46232</v>
      </c>
      <c r="H398" t="n">
        <v>16</v>
      </c>
      <c r="I398">
        <f>NETWORKDAYS(F398,G398)</f>
        <v/>
      </c>
      <c r="J398">
        <f>IF(H398=I398,"OK","CHECK")</f>
        <v/>
      </c>
    </row>
    <row r="399">
      <c r="A399" t="inlineStr">
        <is>
          <t>OS02949</t>
        </is>
      </c>
      <c r="B399" t="inlineStr">
        <is>
          <t>Q3 2026</t>
        </is>
      </c>
      <c r="C399" t="inlineStr">
        <is>
          <t>PU99</t>
        </is>
      </c>
      <c r="D399" t="inlineStr">
        <is>
          <t>New patient</t>
        </is>
      </c>
      <c r="E399" t="inlineStr">
        <is>
          <t>THERAPY_D</t>
        </is>
      </c>
      <c r="F399" s="10" t="n">
        <v>46211</v>
      </c>
      <c r="G399" s="10" t="n">
        <v>46233</v>
      </c>
      <c r="H399" t="n">
        <v>17</v>
      </c>
      <c r="I399">
        <f>NETWORKDAYS(F399,G399)</f>
        <v/>
      </c>
      <c r="J399">
        <f>IF(H399=I399,"OK","CHECK")</f>
        <v/>
      </c>
    </row>
    <row r="400">
      <c r="A400" t="inlineStr">
        <is>
          <t>OS02950</t>
        </is>
      </c>
      <c r="B400" t="inlineStr">
        <is>
          <t>Q3 2026</t>
        </is>
      </c>
      <c r="C400" t="inlineStr">
        <is>
          <t>PU06</t>
        </is>
      </c>
      <c r="D400" t="inlineStr">
        <is>
          <t>New patient</t>
        </is>
      </c>
      <c r="E400" t="inlineStr">
        <is>
          <t>THERAPY_E</t>
        </is>
      </c>
      <c r="F400" s="10" t="n">
        <v>46211</v>
      </c>
      <c r="G400" s="10" t="n">
        <v>46232</v>
      </c>
      <c r="H400" t="n">
        <v>16</v>
      </c>
      <c r="I400">
        <f>NETWORKDAYS(F400,G400)</f>
        <v/>
      </c>
      <c r="J400">
        <f>IF(H400=I400,"OK","CHECK")</f>
        <v/>
      </c>
    </row>
    <row r="401">
      <c r="A401" t="inlineStr">
        <is>
          <t>OS02953</t>
        </is>
      </c>
      <c r="B401" t="inlineStr">
        <is>
          <t>Q3 2026</t>
        </is>
      </c>
      <c r="C401" t="inlineStr">
        <is>
          <t>PU01</t>
        </is>
      </c>
      <c r="D401" t="inlineStr">
        <is>
          <t>New patient</t>
        </is>
      </c>
      <c r="E401" t="inlineStr">
        <is>
          <t>THERAPY_B</t>
        </is>
      </c>
      <c r="F401" s="10" t="n">
        <v>46212</v>
      </c>
      <c r="G401" s="10" t="n">
        <v>46227</v>
      </c>
      <c r="H401" t="n">
        <v>12</v>
      </c>
      <c r="I401">
        <f>NETWORKDAYS(F401,G401)</f>
        <v/>
      </c>
      <c r="J401">
        <f>IF(H401=I401,"OK","CHECK")</f>
        <v/>
      </c>
    </row>
    <row r="402">
      <c r="A402" t="inlineStr">
        <is>
          <t>OS02955</t>
        </is>
      </c>
      <c r="B402" t="inlineStr">
        <is>
          <t>Q3 2026</t>
        </is>
      </c>
      <c r="C402" t="inlineStr">
        <is>
          <t>PU02</t>
        </is>
      </c>
      <c r="D402" t="inlineStr">
        <is>
          <t>New patient</t>
        </is>
      </c>
      <c r="E402" t="inlineStr">
        <is>
          <t>THERAPY_E</t>
        </is>
      </c>
      <c r="F402" s="10" t="n">
        <v>46212</v>
      </c>
      <c r="G402" s="10" t="n">
        <v>46237</v>
      </c>
      <c r="H402" t="n">
        <v>18</v>
      </c>
      <c r="I402">
        <f>NETWORKDAYS(F402,G402)</f>
        <v/>
      </c>
      <c r="J402">
        <f>IF(H402=I402,"OK","CHECK")</f>
        <v/>
      </c>
    </row>
    <row r="403">
      <c r="A403" t="inlineStr">
        <is>
          <t>OS02958</t>
        </is>
      </c>
      <c r="B403" t="inlineStr">
        <is>
          <t>Q3 2026</t>
        </is>
      </c>
      <c r="C403" t="inlineStr">
        <is>
          <t>PU08</t>
        </is>
      </c>
      <c r="D403" t="inlineStr">
        <is>
          <t>New patient</t>
        </is>
      </c>
      <c r="E403" t="inlineStr">
        <is>
          <t>THERAPY_D</t>
        </is>
      </c>
      <c r="F403" s="10" t="n">
        <v>46213</v>
      </c>
      <c r="G403" s="10" t="n">
        <v>46241</v>
      </c>
      <c r="H403" t="n">
        <v>21</v>
      </c>
      <c r="I403">
        <f>NETWORKDAYS(F403,G403)</f>
        <v/>
      </c>
      <c r="J403">
        <f>IF(H403=I403,"OK","CHECK")</f>
        <v/>
      </c>
    </row>
    <row r="404">
      <c r="A404" t="inlineStr">
        <is>
          <t>OS02959</t>
        </is>
      </c>
      <c r="B404" t="inlineStr">
        <is>
          <t>Q3 2026</t>
        </is>
      </c>
      <c r="C404" t="inlineStr">
        <is>
          <t>PU07</t>
        </is>
      </c>
      <c r="D404" t="inlineStr">
        <is>
          <t>New patient</t>
        </is>
      </c>
      <c r="E404" t="inlineStr">
        <is>
          <t>THERAPY_G</t>
        </is>
      </c>
      <c r="F404" s="10" t="n">
        <v>46213</v>
      </c>
      <c r="G404" s="10" t="n">
        <v>46231</v>
      </c>
      <c r="H404" t="n">
        <v>13</v>
      </c>
      <c r="I404">
        <f>NETWORKDAYS(F404,G404)</f>
        <v/>
      </c>
      <c r="J404">
        <f>IF(H404=I404,"OK","CHECK")</f>
        <v/>
      </c>
    </row>
    <row r="405">
      <c r="A405" t="inlineStr">
        <is>
          <t>OS02961</t>
        </is>
      </c>
      <c r="B405" t="inlineStr">
        <is>
          <t>Q3 2026</t>
        </is>
      </c>
      <c r="C405" t="inlineStr">
        <is>
          <t>PU08</t>
        </is>
      </c>
      <c r="D405" t="inlineStr">
        <is>
          <t>New patient</t>
        </is>
      </c>
      <c r="E405" t="inlineStr">
        <is>
          <t>THERAPY_B</t>
        </is>
      </c>
      <c r="F405" s="10" t="n">
        <v>46213</v>
      </c>
      <c r="G405" s="10" t="n">
        <v>46231</v>
      </c>
      <c r="H405" t="n">
        <v>13</v>
      </c>
      <c r="I405">
        <f>NETWORKDAYS(F405,G405)</f>
        <v/>
      </c>
      <c r="J405">
        <f>IF(H405=I405,"OK","CHECK")</f>
        <v/>
      </c>
    </row>
    <row r="406">
      <c r="A406" t="inlineStr">
        <is>
          <t>OS02962</t>
        </is>
      </c>
      <c r="B406" t="inlineStr">
        <is>
          <t>Q3 2026</t>
        </is>
      </c>
      <c r="C406" t="inlineStr">
        <is>
          <t>PU02</t>
        </is>
      </c>
      <c r="D406" t="inlineStr">
        <is>
          <t>New therapy</t>
        </is>
      </c>
      <c r="E406" t="inlineStr">
        <is>
          <t>THERAPY_E</t>
        </is>
      </c>
      <c r="F406" s="10" t="n">
        <v>46213</v>
      </c>
      <c r="G406" s="10" t="n">
        <v>46240</v>
      </c>
      <c r="H406" t="n">
        <v>20</v>
      </c>
      <c r="I406">
        <f>NETWORKDAYS(F406,G406)</f>
        <v/>
      </c>
      <c r="J406">
        <f>IF(H406=I406,"OK","CHECK")</f>
        <v/>
      </c>
    </row>
    <row r="407">
      <c r="A407" t="inlineStr">
        <is>
          <t>OS02963</t>
        </is>
      </c>
      <c r="B407" t="inlineStr">
        <is>
          <t>Q3 2026</t>
        </is>
      </c>
      <c r="C407" t="inlineStr">
        <is>
          <t>PU01</t>
        </is>
      </c>
      <c r="D407" t="inlineStr">
        <is>
          <t>New patient</t>
        </is>
      </c>
      <c r="E407" t="inlineStr">
        <is>
          <t>THERAPY_J</t>
        </is>
      </c>
      <c r="F407" s="10" t="n">
        <v>46213</v>
      </c>
      <c r="G407" s="10" t="n">
        <v>46241</v>
      </c>
      <c r="H407" t="n">
        <v>21</v>
      </c>
      <c r="I407">
        <f>NETWORKDAYS(F407,G407)</f>
        <v/>
      </c>
      <c r="J407">
        <f>IF(H407=I407,"OK","CHECK")</f>
        <v/>
      </c>
    </row>
    <row r="408">
      <c r="A408" t="inlineStr">
        <is>
          <t>OS02964</t>
        </is>
      </c>
      <c r="B408" t="inlineStr">
        <is>
          <t>Q3 2026</t>
        </is>
      </c>
      <c r="C408" t="inlineStr">
        <is>
          <t>PU06</t>
        </is>
      </c>
      <c r="D408" t="inlineStr">
        <is>
          <t>New patient</t>
        </is>
      </c>
      <c r="E408" t="inlineStr">
        <is>
          <t>THERAPY_A</t>
        </is>
      </c>
      <c r="F408" s="10" t="n">
        <v>46216</v>
      </c>
      <c r="G408" s="10" t="n">
        <v>46247</v>
      </c>
      <c r="H408" t="n">
        <v>24</v>
      </c>
      <c r="I408">
        <f>NETWORKDAYS(F408,G408)</f>
        <v/>
      </c>
      <c r="J408">
        <f>IF(H408=I408,"OK","CHECK")</f>
        <v/>
      </c>
    </row>
    <row r="409">
      <c r="A409" t="inlineStr">
        <is>
          <t>OS02965</t>
        </is>
      </c>
      <c r="B409" t="inlineStr">
        <is>
          <t>Q3 2026</t>
        </is>
      </c>
      <c r="C409" t="inlineStr">
        <is>
          <t>PU04</t>
        </is>
      </c>
      <c r="D409" t="inlineStr">
        <is>
          <t>New patient</t>
        </is>
      </c>
      <c r="E409" t="inlineStr">
        <is>
          <t>THERAPY_H</t>
        </is>
      </c>
      <c r="F409" s="10" t="n">
        <v>46216</v>
      </c>
      <c r="G409" s="10" t="n">
        <v>46234</v>
      </c>
      <c r="H409" t="n">
        <v>15</v>
      </c>
      <c r="I409">
        <f>NETWORKDAYS(F409,G409)</f>
        <v/>
      </c>
      <c r="J409">
        <f>IF(H409=I409,"OK","CHECK")</f>
        <v/>
      </c>
    </row>
    <row r="410">
      <c r="A410" t="inlineStr">
        <is>
          <t>OS02966</t>
        </is>
      </c>
      <c r="B410" t="inlineStr">
        <is>
          <t>Q3 2026</t>
        </is>
      </c>
      <c r="C410" t="inlineStr">
        <is>
          <t>PU03</t>
        </is>
      </c>
      <c r="D410" t="inlineStr">
        <is>
          <t>New patient</t>
        </is>
      </c>
      <c r="E410" t="inlineStr">
        <is>
          <t>THERAPY_F</t>
        </is>
      </c>
      <c r="F410" s="10" t="n">
        <v>46216</v>
      </c>
      <c r="G410" s="10" t="n">
        <v>46238</v>
      </c>
      <c r="H410" t="n">
        <v>17</v>
      </c>
      <c r="I410">
        <f>NETWORKDAYS(F410,G410)</f>
        <v/>
      </c>
      <c r="J410">
        <f>IF(H410=I410,"OK","CHECK")</f>
        <v/>
      </c>
    </row>
    <row r="411">
      <c r="A411" t="inlineStr">
        <is>
          <t>OS02968</t>
        </is>
      </c>
      <c r="B411" t="inlineStr">
        <is>
          <t>Q3 2026</t>
        </is>
      </c>
      <c r="C411" t="inlineStr">
        <is>
          <t>PU01</t>
        </is>
      </c>
      <c r="D411" t="inlineStr">
        <is>
          <t>New patient</t>
        </is>
      </c>
      <c r="E411" t="inlineStr">
        <is>
          <t>THERAPY_B</t>
        </is>
      </c>
      <c r="F411" s="10" t="n">
        <v>46216</v>
      </c>
      <c r="G411" s="10" t="n">
        <v>46251</v>
      </c>
      <c r="H411" t="n">
        <v>26</v>
      </c>
      <c r="I411">
        <f>NETWORKDAYS(F411,G411)</f>
        <v/>
      </c>
      <c r="J411">
        <f>IF(H411=I411,"OK","CHECK")</f>
        <v/>
      </c>
    </row>
    <row r="412">
      <c r="A412" t="inlineStr">
        <is>
          <t>OS02969</t>
        </is>
      </c>
      <c r="B412" t="inlineStr">
        <is>
          <t>Q3 2026</t>
        </is>
      </c>
      <c r="C412" t="inlineStr">
        <is>
          <t>PU10</t>
        </is>
      </c>
      <c r="D412" t="inlineStr">
        <is>
          <t>New patient</t>
        </is>
      </c>
      <c r="E412" t="inlineStr">
        <is>
          <t>THERAPY_B</t>
        </is>
      </c>
      <c r="F412" s="10" t="n">
        <v>46216</v>
      </c>
      <c r="G412" s="10" t="n">
        <v>46241</v>
      </c>
      <c r="H412" t="n">
        <v>20</v>
      </c>
      <c r="I412">
        <f>NETWORKDAYS(F412,G412)</f>
        <v/>
      </c>
      <c r="J412">
        <f>IF(H412=I412,"OK","CHECK")</f>
        <v/>
      </c>
    </row>
    <row r="413">
      <c r="A413" t="inlineStr">
        <is>
          <t>OS02970</t>
        </is>
      </c>
      <c r="B413" t="inlineStr">
        <is>
          <t>Q3 2026</t>
        </is>
      </c>
      <c r="C413" t="inlineStr">
        <is>
          <t>PU99</t>
        </is>
      </c>
      <c r="D413" t="inlineStr">
        <is>
          <t>New patient</t>
        </is>
      </c>
      <c r="E413" t="inlineStr">
        <is>
          <t>THERAPY_A</t>
        </is>
      </c>
      <c r="F413" s="10" t="n">
        <v>46216</v>
      </c>
      <c r="G413" s="10" t="n">
        <v>46232</v>
      </c>
      <c r="H413" t="n">
        <v>13</v>
      </c>
      <c r="I413">
        <f>NETWORKDAYS(F413,G413)</f>
        <v/>
      </c>
      <c r="J413">
        <f>IF(H413=I413,"OK","CHECK")</f>
        <v/>
      </c>
    </row>
    <row r="414">
      <c r="A414" t="inlineStr">
        <is>
          <t>OS02971</t>
        </is>
      </c>
      <c r="B414" t="inlineStr">
        <is>
          <t>Q3 2026</t>
        </is>
      </c>
      <c r="C414" t="inlineStr">
        <is>
          <t>PU07</t>
        </is>
      </c>
      <c r="D414" t="inlineStr">
        <is>
          <t>New patient</t>
        </is>
      </c>
      <c r="E414" t="inlineStr">
        <is>
          <t>THERAPY_H</t>
        </is>
      </c>
      <c r="F414" s="10" t="n">
        <v>46216</v>
      </c>
      <c r="G414" s="10" t="n">
        <v>46245</v>
      </c>
      <c r="H414" t="n">
        <v>22</v>
      </c>
      <c r="I414">
        <f>NETWORKDAYS(F414,G414)</f>
        <v/>
      </c>
      <c r="J414">
        <f>IF(H414=I414,"OK","CHECK")</f>
        <v/>
      </c>
    </row>
    <row r="415">
      <c r="A415" t="inlineStr">
        <is>
          <t>OS02972</t>
        </is>
      </c>
      <c r="B415" t="inlineStr">
        <is>
          <t>Q3 2026</t>
        </is>
      </c>
      <c r="C415" t="inlineStr">
        <is>
          <t>PU07</t>
        </is>
      </c>
      <c r="D415" t="inlineStr">
        <is>
          <t>New patient</t>
        </is>
      </c>
      <c r="E415" t="inlineStr">
        <is>
          <t>THERAPY_I</t>
        </is>
      </c>
      <c r="F415" s="10" t="n">
        <v>46217</v>
      </c>
      <c r="G415" s="10" t="n">
        <v>46255</v>
      </c>
      <c r="H415" t="n">
        <v>29</v>
      </c>
      <c r="I415">
        <f>NETWORKDAYS(F415,G415)</f>
        <v/>
      </c>
      <c r="J415">
        <f>IF(H415=I415,"OK","CHECK")</f>
        <v/>
      </c>
    </row>
    <row r="416">
      <c r="A416" t="inlineStr">
        <is>
          <t>OS02974</t>
        </is>
      </c>
      <c r="B416" t="inlineStr">
        <is>
          <t>Q3 2026</t>
        </is>
      </c>
      <c r="C416" t="inlineStr">
        <is>
          <t>PU02</t>
        </is>
      </c>
      <c r="D416" t="inlineStr">
        <is>
          <t>New therapy</t>
        </is>
      </c>
      <c r="E416" t="inlineStr">
        <is>
          <t>THERAPY_A</t>
        </is>
      </c>
      <c r="F416" s="10" t="n">
        <v>46217</v>
      </c>
      <c r="G416" s="10" t="n">
        <v>46248</v>
      </c>
      <c r="H416" t="n">
        <v>24</v>
      </c>
      <c r="I416">
        <f>NETWORKDAYS(F416,G416)</f>
        <v/>
      </c>
      <c r="J416">
        <f>IF(H416=I416,"OK","CHECK")</f>
        <v/>
      </c>
    </row>
    <row r="417">
      <c r="A417" t="inlineStr">
        <is>
          <t>OS02975</t>
        </is>
      </c>
      <c r="B417" t="inlineStr">
        <is>
          <t>Q3 2026</t>
        </is>
      </c>
      <c r="C417" t="inlineStr">
        <is>
          <t>PU02</t>
        </is>
      </c>
      <c r="D417" t="inlineStr">
        <is>
          <t>New patient</t>
        </is>
      </c>
      <c r="E417" t="inlineStr">
        <is>
          <t>THERAPY_G</t>
        </is>
      </c>
      <c r="F417" s="10" t="n">
        <v>46217</v>
      </c>
      <c r="G417" s="10" t="n">
        <v>46239</v>
      </c>
      <c r="H417" t="n">
        <v>17</v>
      </c>
      <c r="I417">
        <f>NETWORKDAYS(F417,G417)</f>
        <v/>
      </c>
      <c r="J417">
        <f>IF(H417=I417,"OK","CHECK")</f>
        <v/>
      </c>
    </row>
    <row r="418">
      <c r="A418" t="inlineStr">
        <is>
          <t>OS02976</t>
        </is>
      </c>
      <c r="B418" t="inlineStr">
        <is>
          <t>Q3 2026</t>
        </is>
      </c>
      <c r="C418" t="inlineStr">
        <is>
          <t>PU05</t>
        </is>
      </c>
      <c r="D418" t="inlineStr">
        <is>
          <t>New patient</t>
        </is>
      </c>
      <c r="E418" t="inlineStr">
        <is>
          <t>THERAPY_G</t>
        </is>
      </c>
      <c r="F418" s="10" t="n">
        <v>46217</v>
      </c>
      <c r="G418" s="10" t="n">
        <v>46248</v>
      </c>
      <c r="H418" t="n">
        <v>24</v>
      </c>
      <c r="I418">
        <f>NETWORKDAYS(F418,G418)</f>
        <v/>
      </c>
      <c r="J418">
        <f>IF(H418=I418,"OK","CHECK")</f>
        <v/>
      </c>
    </row>
    <row r="419">
      <c r="A419" t="inlineStr">
        <is>
          <t>OS02978</t>
        </is>
      </c>
      <c r="B419" t="inlineStr">
        <is>
          <t>Q3 2026</t>
        </is>
      </c>
      <c r="C419" t="inlineStr">
        <is>
          <t>PU07</t>
        </is>
      </c>
      <c r="D419" t="inlineStr">
        <is>
          <t>New patient</t>
        </is>
      </c>
      <c r="E419" t="inlineStr">
        <is>
          <t>THERAPY_B</t>
        </is>
      </c>
      <c r="F419" s="10" t="n">
        <v>46218</v>
      </c>
      <c r="G419" s="10" t="n">
        <v>46262</v>
      </c>
      <c r="H419" t="n">
        <v>33</v>
      </c>
      <c r="I419">
        <f>NETWORKDAYS(F419,G419)</f>
        <v/>
      </c>
      <c r="J419">
        <f>IF(H419=I419,"OK","CHECK")</f>
        <v/>
      </c>
    </row>
    <row r="420">
      <c r="A420" t="inlineStr">
        <is>
          <t>OS02980</t>
        </is>
      </c>
      <c r="B420" t="inlineStr">
        <is>
          <t>Q3 2026</t>
        </is>
      </c>
      <c r="C420" t="inlineStr">
        <is>
          <t>PU02</t>
        </is>
      </c>
      <c r="D420" t="inlineStr">
        <is>
          <t>New patient</t>
        </is>
      </c>
      <c r="E420" t="inlineStr">
        <is>
          <t>THERAPY_G</t>
        </is>
      </c>
      <c r="F420" s="10" t="n">
        <v>46218</v>
      </c>
      <c r="G420" s="10" t="n">
        <v>46241</v>
      </c>
      <c r="H420" t="n">
        <v>18</v>
      </c>
      <c r="I420">
        <f>NETWORKDAYS(F420,G420)</f>
        <v/>
      </c>
      <c r="J420">
        <f>IF(H420=I420,"OK","CHECK")</f>
        <v/>
      </c>
    </row>
    <row r="421">
      <c r="A421" t="inlineStr">
        <is>
          <t>OS02982</t>
        </is>
      </c>
      <c r="B421" t="inlineStr">
        <is>
          <t>Q3 2026</t>
        </is>
      </c>
      <c r="C421" t="inlineStr">
        <is>
          <t>PU07</t>
        </is>
      </c>
      <c r="D421" t="inlineStr">
        <is>
          <t>New patient</t>
        </is>
      </c>
      <c r="E421" t="inlineStr">
        <is>
          <t>THERAPY_G</t>
        </is>
      </c>
      <c r="F421" s="10" t="n">
        <v>46218</v>
      </c>
      <c r="G421" s="10" t="n">
        <v>46241</v>
      </c>
      <c r="H421" t="n">
        <v>18</v>
      </c>
      <c r="I421">
        <f>NETWORKDAYS(F421,G421)</f>
        <v/>
      </c>
      <c r="J421">
        <f>IF(H421=I421,"OK","CHECK")</f>
        <v/>
      </c>
    </row>
    <row r="422">
      <c r="A422" t="inlineStr">
        <is>
          <t>OS02983</t>
        </is>
      </c>
      <c r="B422" t="inlineStr">
        <is>
          <t>Q3 2026</t>
        </is>
      </c>
      <c r="C422" t="inlineStr">
        <is>
          <t>PU99</t>
        </is>
      </c>
      <c r="D422" t="inlineStr">
        <is>
          <t>New therapy</t>
        </is>
      </c>
      <c r="E422" t="inlineStr">
        <is>
          <t>THERAPY_E</t>
        </is>
      </c>
      <c r="F422" s="10" t="n">
        <v>46219</v>
      </c>
      <c r="G422" s="10" t="n">
        <v>46231</v>
      </c>
      <c r="H422" t="n">
        <v>9</v>
      </c>
      <c r="I422">
        <f>NETWORKDAYS(F422,G422)</f>
        <v/>
      </c>
      <c r="J422">
        <f>IF(H422=I422,"OK","CHECK")</f>
        <v/>
      </c>
    </row>
    <row r="423">
      <c r="A423" t="inlineStr">
        <is>
          <t>OS02984</t>
        </is>
      </c>
      <c r="B423" t="inlineStr">
        <is>
          <t>Q3 2026</t>
        </is>
      </c>
      <c r="C423" t="inlineStr">
        <is>
          <t>PU99</t>
        </is>
      </c>
      <c r="D423" t="inlineStr">
        <is>
          <t>New patient</t>
        </is>
      </c>
      <c r="E423" t="inlineStr">
        <is>
          <t>THERAPY_E</t>
        </is>
      </c>
      <c r="F423" s="10" t="n">
        <v>46219</v>
      </c>
      <c r="G423" s="10" t="n">
        <v>46244</v>
      </c>
      <c r="H423" t="n">
        <v>18</v>
      </c>
      <c r="I423">
        <f>NETWORKDAYS(F423,G423)</f>
        <v/>
      </c>
      <c r="J423">
        <f>IF(H423=I423,"OK","CHECK")</f>
        <v/>
      </c>
    </row>
    <row r="424">
      <c r="A424" t="inlineStr">
        <is>
          <t>OS02985</t>
        </is>
      </c>
      <c r="B424" t="inlineStr">
        <is>
          <t>Q3 2026</t>
        </is>
      </c>
      <c r="C424" t="inlineStr">
        <is>
          <t>PU02</t>
        </is>
      </c>
      <c r="D424" t="inlineStr">
        <is>
          <t>New patient</t>
        </is>
      </c>
      <c r="E424" t="inlineStr">
        <is>
          <t>THERAPY_I</t>
        </is>
      </c>
      <c r="F424" s="10" t="n">
        <v>46219</v>
      </c>
      <c r="G424" s="10" t="n">
        <v>46230</v>
      </c>
      <c r="H424" t="n">
        <v>8</v>
      </c>
      <c r="I424">
        <f>NETWORKDAYS(F424,G424)</f>
        <v/>
      </c>
      <c r="J424">
        <f>IF(H424=I424,"OK","CHECK")</f>
        <v/>
      </c>
    </row>
    <row r="425">
      <c r="A425" t="inlineStr">
        <is>
          <t>OS02989</t>
        </is>
      </c>
      <c r="B425" t="inlineStr">
        <is>
          <t>Q3 2026</t>
        </is>
      </c>
      <c r="C425" t="inlineStr">
        <is>
          <t>PU03</t>
        </is>
      </c>
      <c r="D425" t="inlineStr">
        <is>
          <t>New patient</t>
        </is>
      </c>
      <c r="E425" t="inlineStr">
        <is>
          <t>THERAPY_G</t>
        </is>
      </c>
      <c r="F425" s="10" t="n">
        <v>46219</v>
      </c>
      <c r="G425" s="10" t="n">
        <v>46260</v>
      </c>
      <c r="H425" t="n">
        <v>30</v>
      </c>
      <c r="I425">
        <f>NETWORKDAYS(F425,G425)</f>
        <v/>
      </c>
      <c r="J425">
        <f>IF(H425=I425,"OK","CHECK")</f>
        <v/>
      </c>
    </row>
    <row r="426">
      <c r="A426" t="inlineStr">
        <is>
          <t>OS02990</t>
        </is>
      </c>
      <c r="B426" t="inlineStr">
        <is>
          <t>Q3 2026</t>
        </is>
      </c>
      <c r="C426" t="inlineStr">
        <is>
          <t>PU04</t>
        </is>
      </c>
      <c r="D426" t="inlineStr">
        <is>
          <t>New patient</t>
        </is>
      </c>
      <c r="E426" t="inlineStr">
        <is>
          <t>THERAPY_F</t>
        </is>
      </c>
      <c r="F426" s="10" t="n">
        <v>46219</v>
      </c>
      <c r="G426" s="10" t="n">
        <v>46266</v>
      </c>
      <c r="H426" t="n">
        <v>34</v>
      </c>
      <c r="I426">
        <f>NETWORKDAYS(F426,G426)</f>
        <v/>
      </c>
      <c r="J426">
        <f>IF(H426=I426,"OK","CHECK")</f>
        <v/>
      </c>
    </row>
    <row r="427">
      <c r="A427" t="inlineStr">
        <is>
          <t>OS02991</t>
        </is>
      </c>
      <c r="B427" t="inlineStr">
        <is>
          <t>Q3 2026</t>
        </is>
      </c>
      <c r="C427" t="inlineStr">
        <is>
          <t>PU01</t>
        </is>
      </c>
      <c r="D427" t="inlineStr">
        <is>
          <t>New patient</t>
        </is>
      </c>
      <c r="E427" t="inlineStr">
        <is>
          <t>THERAPY_E</t>
        </is>
      </c>
      <c r="F427" s="10" t="n">
        <v>46220</v>
      </c>
      <c r="G427" s="10" t="n">
        <v>46255</v>
      </c>
      <c r="H427" t="n">
        <v>26</v>
      </c>
      <c r="I427">
        <f>NETWORKDAYS(F427,G427)</f>
        <v/>
      </c>
      <c r="J427">
        <f>IF(H427=I427,"OK","CHECK")</f>
        <v/>
      </c>
    </row>
    <row r="428">
      <c r="A428" t="inlineStr">
        <is>
          <t>OS02992</t>
        </is>
      </c>
      <c r="B428" t="inlineStr">
        <is>
          <t>Q3 2026</t>
        </is>
      </c>
      <c r="C428" t="inlineStr">
        <is>
          <t>PU99</t>
        </is>
      </c>
      <c r="D428" t="inlineStr">
        <is>
          <t>New patient</t>
        </is>
      </c>
      <c r="E428" t="inlineStr">
        <is>
          <t>THERAPY_I</t>
        </is>
      </c>
      <c r="F428" s="10" t="n">
        <v>46220</v>
      </c>
      <c r="G428" s="10" t="n">
        <v>46245</v>
      </c>
      <c r="H428" t="n">
        <v>18</v>
      </c>
      <c r="I428">
        <f>NETWORKDAYS(F428,G428)</f>
        <v/>
      </c>
      <c r="J428">
        <f>IF(H428=I428,"OK","CHECK")</f>
        <v/>
      </c>
    </row>
    <row r="429">
      <c r="A429" t="inlineStr">
        <is>
          <t>OS02993</t>
        </is>
      </c>
      <c r="B429" t="inlineStr">
        <is>
          <t>Q3 2026</t>
        </is>
      </c>
      <c r="C429" t="inlineStr">
        <is>
          <t>PU06</t>
        </is>
      </c>
      <c r="D429" t="inlineStr">
        <is>
          <t>New patient</t>
        </is>
      </c>
      <c r="E429" t="inlineStr">
        <is>
          <t>THERAPY_F</t>
        </is>
      </c>
      <c r="F429" s="10" t="n">
        <v>46220</v>
      </c>
      <c r="G429" s="10" t="n">
        <v>46248</v>
      </c>
      <c r="H429" t="n">
        <v>21</v>
      </c>
      <c r="I429">
        <f>NETWORKDAYS(F429,G429)</f>
        <v/>
      </c>
      <c r="J429">
        <f>IF(H429=I429,"OK","CHECK")</f>
        <v/>
      </c>
    </row>
    <row r="430">
      <c r="A430" t="inlineStr">
        <is>
          <t>OS02995</t>
        </is>
      </c>
      <c r="B430" t="inlineStr">
        <is>
          <t>Q3 2026</t>
        </is>
      </c>
      <c r="C430" t="inlineStr">
        <is>
          <t>PU04</t>
        </is>
      </c>
      <c r="D430" t="inlineStr">
        <is>
          <t>New patient</t>
        </is>
      </c>
      <c r="E430" t="inlineStr">
        <is>
          <t>THERAPY_A</t>
        </is>
      </c>
      <c r="F430" s="10" t="n">
        <v>46220</v>
      </c>
      <c r="G430" s="10" t="n">
        <v>46255</v>
      </c>
      <c r="H430" t="n">
        <v>26</v>
      </c>
      <c r="I430">
        <f>NETWORKDAYS(F430,G430)</f>
        <v/>
      </c>
      <c r="J430">
        <f>IF(H430=I430,"OK","CHECK")</f>
        <v/>
      </c>
    </row>
    <row r="431">
      <c r="A431" t="inlineStr">
        <is>
          <t>OS02996</t>
        </is>
      </c>
      <c r="B431" t="inlineStr">
        <is>
          <t>Q3 2026</t>
        </is>
      </c>
      <c r="C431" t="inlineStr">
        <is>
          <t>PU04</t>
        </is>
      </c>
      <c r="D431" t="inlineStr">
        <is>
          <t>New patient</t>
        </is>
      </c>
      <c r="E431" t="inlineStr">
        <is>
          <t>THERAPY_J</t>
        </is>
      </c>
      <c r="F431" s="10" t="n">
        <v>46220</v>
      </c>
      <c r="G431" s="10" t="n">
        <v>46260</v>
      </c>
      <c r="H431" t="n">
        <v>29</v>
      </c>
      <c r="I431">
        <f>NETWORKDAYS(F431,G431)</f>
        <v/>
      </c>
      <c r="J431">
        <f>IF(H431=I431,"OK","CHECK")</f>
        <v/>
      </c>
    </row>
    <row r="432">
      <c r="A432" t="inlineStr">
        <is>
          <t>OS03001</t>
        </is>
      </c>
      <c r="B432" t="inlineStr">
        <is>
          <t>Q3 2026</t>
        </is>
      </c>
      <c r="C432" t="inlineStr">
        <is>
          <t>PU08</t>
        </is>
      </c>
      <c r="D432" t="inlineStr">
        <is>
          <t>New patient</t>
        </is>
      </c>
      <c r="E432" t="inlineStr">
        <is>
          <t>THERAPY_F</t>
        </is>
      </c>
      <c r="F432" s="10" t="n">
        <v>46223</v>
      </c>
      <c r="G432" s="10" t="n">
        <v>46244</v>
      </c>
      <c r="H432" t="n">
        <v>16</v>
      </c>
      <c r="I432">
        <f>NETWORKDAYS(F432,G432)</f>
        <v/>
      </c>
      <c r="J432">
        <f>IF(H432=I432,"OK","CHECK")</f>
        <v/>
      </c>
    </row>
    <row r="433">
      <c r="A433" t="inlineStr">
        <is>
          <t>OS03003</t>
        </is>
      </c>
      <c r="B433" t="inlineStr">
        <is>
          <t>Q3 2026</t>
        </is>
      </c>
      <c r="C433" t="inlineStr">
        <is>
          <t>PU07</t>
        </is>
      </c>
      <c r="D433" t="inlineStr">
        <is>
          <t>New therapy</t>
        </is>
      </c>
      <c r="E433" t="inlineStr">
        <is>
          <t>THERAPY_A</t>
        </is>
      </c>
      <c r="F433" s="10" t="n">
        <v>46223</v>
      </c>
      <c r="G433" s="10" t="n">
        <v>46246</v>
      </c>
      <c r="H433" t="n">
        <v>18</v>
      </c>
      <c r="I433">
        <f>NETWORKDAYS(F433,G433)</f>
        <v/>
      </c>
      <c r="J433">
        <f>IF(H433=I433,"OK","CHECK")</f>
        <v/>
      </c>
    </row>
    <row r="434">
      <c r="A434" t="inlineStr">
        <is>
          <t>OS03006</t>
        </is>
      </c>
      <c r="B434" t="inlineStr">
        <is>
          <t>Q3 2026</t>
        </is>
      </c>
      <c r="C434" t="inlineStr">
        <is>
          <t>PU10</t>
        </is>
      </c>
      <c r="D434" t="inlineStr">
        <is>
          <t>New patient</t>
        </is>
      </c>
      <c r="E434" t="inlineStr">
        <is>
          <t>THERAPY_J</t>
        </is>
      </c>
      <c r="F434" s="10" t="n">
        <v>46224</v>
      </c>
      <c r="G434" s="10" t="n">
        <v>46254</v>
      </c>
      <c r="H434" t="n">
        <v>23</v>
      </c>
      <c r="I434">
        <f>NETWORKDAYS(F434,G434)</f>
        <v/>
      </c>
      <c r="J434">
        <f>IF(H434=I434,"OK","CHECK")</f>
        <v/>
      </c>
    </row>
    <row r="435">
      <c r="A435" t="inlineStr">
        <is>
          <t>OS03007</t>
        </is>
      </c>
      <c r="B435" t="inlineStr">
        <is>
          <t>Q3 2026</t>
        </is>
      </c>
      <c r="C435" t="inlineStr">
        <is>
          <t>PU03</t>
        </is>
      </c>
      <c r="D435" t="inlineStr">
        <is>
          <t>New patient</t>
        </is>
      </c>
      <c r="E435" t="inlineStr">
        <is>
          <t>THERAPY_B</t>
        </is>
      </c>
      <c r="F435" s="10" t="n">
        <v>46224</v>
      </c>
      <c r="G435" s="10" t="n">
        <v>46258</v>
      </c>
      <c r="H435" t="n">
        <v>25</v>
      </c>
      <c r="I435">
        <f>NETWORKDAYS(F435,G435)</f>
        <v/>
      </c>
      <c r="J435">
        <f>IF(H435=I435,"OK","CHECK")</f>
        <v/>
      </c>
    </row>
    <row r="436">
      <c r="A436" t="inlineStr">
        <is>
          <t>OS03008</t>
        </is>
      </c>
      <c r="B436" t="inlineStr">
        <is>
          <t>Q3 2026</t>
        </is>
      </c>
      <c r="C436" t="inlineStr">
        <is>
          <t>PU08</t>
        </is>
      </c>
      <c r="D436" t="inlineStr">
        <is>
          <t>New patient</t>
        </is>
      </c>
      <c r="E436" t="inlineStr">
        <is>
          <t>THERAPY_D</t>
        </is>
      </c>
      <c r="F436" s="10" t="n">
        <v>46224</v>
      </c>
      <c r="G436" s="10" t="n">
        <v>46252</v>
      </c>
      <c r="H436" t="n">
        <v>21</v>
      </c>
      <c r="I436">
        <f>NETWORKDAYS(F436,G436)</f>
        <v/>
      </c>
      <c r="J436">
        <f>IF(H436=I436,"OK","CHECK")</f>
        <v/>
      </c>
    </row>
    <row r="437">
      <c r="A437" t="inlineStr">
        <is>
          <t>OS03009</t>
        </is>
      </c>
      <c r="B437" t="inlineStr">
        <is>
          <t>Q3 2026</t>
        </is>
      </c>
      <c r="C437" t="inlineStr">
        <is>
          <t>PU99</t>
        </is>
      </c>
      <c r="D437" t="inlineStr">
        <is>
          <t>New patient</t>
        </is>
      </c>
      <c r="E437" t="inlineStr">
        <is>
          <t>THERAPY_A</t>
        </is>
      </c>
      <c r="F437" s="10" t="n">
        <v>46224</v>
      </c>
      <c r="G437" s="10" t="n">
        <v>46261</v>
      </c>
      <c r="H437" t="n">
        <v>28</v>
      </c>
      <c r="I437">
        <f>NETWORKDAYS(F437,G437)</f>
        <v/>
      </c>
      <c r="J437">
        <f>IF(H437=I437,"OK","CHECK")</f>
        <v/>
      </c>
    </row>
    <row r="438">
      <c r="A438" t="inlineStr">
        <is>
          <t>OS03010</t>
        </is>
      </c>
      <c r="B438" t="inlineStr">
        <is>
          <t>Q3 2026</t>
        </is>
      </c>
      <c r="C438" t="inlineStr">
        <is>
          <t>PU03</t>
        </is>
      </c>
      <c r="D438" t="inlineStr">
        <is>
          <t>New patient</t>
        </is>
      </c>
      <c r="E438" t="inlineStr">
        <is>
          <t>THERAPY_E</t>
        </is>
      </c>
      <c r="F438" s="10" t="n">
        <v>46224</v>
      </c>
      <c r="G438" s="10" t="n">
        <v>46244</v>
      </c>
      <c r="H438" t="n">
        <v>15</v>
      </c>
      <c r="I438">
        <f>NETWORKDAYS(F438,G438)</f>
        <v/>
      </c>
      <c r="J438">
        <f>IF(H438=I438,"OK","CHECK")</f>
        <v/>
      </c>
    </row>
    <row r="439">
      <c r="A439" t="inlineStr">
        <is>
          <t>OS03011</t>
        </is>
      </c>
      <c r="B439" t="inlineStr">
        <is>
          <t>Q3 2026</t>
        </is>
      </c>
      <c r="C439" t="inlineStr">
        <is>
          <t>PU02</t>
        </is>
      </c>
      <c r="D439" t="inlineStr">
        <is>
          <t>New patient</t>
        </is>
      </c>
      <c r="E439" t="inlineStr">
        <is>
          <t>THERAPY_A</t>
        </is>
      </c>
      <c r="F439" s="10" t="n">
        <v>46224</v>
      </c>
      <c r="G439" s="10" t="n">
        <v>46248</v>
      </c>
      <c r="H439" t="n">
        <v>19</v>
      </c>
      <c r="I439">
        <f>NETWORKDAYS(F439,G439)</f>
        <v/>
      </c>
      <c r="J439">
        <f>IF(H439=I439,"OK","CHECK")</f>
        <v/>
      </c>
    </row>
    <row r="440">
      <c r="A440" t="inlineStr">
        <is>
          <t>OS03012</t>
        </is>
      </c>
      <c r="B440" t="inlineStr">
        <is>
          <t>Q3 2026</t>
        </is>
      </c>
      <c r="C440" t="inlineStr">
        <is>
          <t>PU03</t>
        </is>
      </c>
      <c r="D440" t="inlineStr">
        <is>
          <t>New patient</t>
        </is>
      </c>
      <c r="E440" t="inlineStr">
        <is>
          <t>THERAPY_B</t>
        </is>
      </c>
      <c r="F440" s="10" t="n">
        <v>46224</v>
      </c>
      <c r="G440" s="10" t="n">
        <v>46246</v>
      </c>
      <c r="H440" t="n">
        <v>17</v>
      </c>
      <c r="I440">
        <f>NETWORKDAYS(F440,G440)</f>
        <v/>
      </c>
      <c r="J440">
        <f>IF(H440=I440,"OK","CHECK")</f>
        <v/>
      </c>
    </row>
    <row r="441">
      <c r="A441" t="inlineStr">
        <is>
          <t>OS03013</t>
        </is>
      </c>
      <c r="B441" t="inlineStr">
        <is>
          <t>Q3 2026</t>
        </is>
      </c>
      <c r="C441" t="inlineStr">
        <is>
          <t>PU09</t>
        </is>
      </c>
      <c r="D441" t="inlineStr">
        <is>
          <t>New patient</t>
        </is>
      </c>
      <c r="E441" t="inlineStr">
        <is>
          <t>THERAPY_E</t>
        </is>
      </c>
      <c r="F441" s="10" t="n">
        <v>46225</v>
      </c>
      <c r="G441" s="10" t="n">
        <v>46269</v>
      </c>
      <c r="H441" t="n">
        <v>33</v>
      </c>
      <c r="I441">
        <f>NETWORKDAYS(F441,G441)</f>
        <v/>
      </c>
      <c r="J441">
        <f>IF(H441=I441,"OK","CHECK")</f>
        <v/>
      </c>
    </row>
    <row r="442">
      <c r="A442" t="inlineStr">
        <is>
          <t>OS03014</t>
        </is>
      </c>
      <c r="B442" t="inlineStr">
        <is>
          <t>Q3 2026</t>
        </is>
      </c>
      <c r="C442" t="inlineStr">
        <is>
          <t>PU06</t>
        </is>
      </c>
      <c r="D442" t="inlineStr">
        <is>
          <t>New patient</t>
        </is>
      </c>
      <c r="E442" t="inlineStr">
        <is>
          <t>THERAPY_B</t>
        </is>
      </c>
      <c r="F442" s="10" t="n">
        <v>46225</v>
      </c>
      <c r="G442" s="10" t="n">
        <v>46259</v>
      </c>
      <c r="H442" t="n">
        <v>25</v>
      </c>
      <c r="I442">
        <f>NETWORKDAYS(F442,G442)</f>
        <v/>
      </c>
      <c r="J442">
        <f>IF(H442=I442,"OK","CHECK")</f>
        <v/>
      </c>
    </row>
    <row r="443">
      <c r="A443" t="inlineStr">
        <is>
          <t>OS03015</t>
        </is>
      </c>
      <c r="B443" t="inlineStr">
        <is>
          <t>Q3 2026</t>
        </is>
      </c>
      <c r="C443" t="inlineStr">
        <is>
          <t>PU10</t>
        </is>
      </c>
      <c r="D443" t="inlineStr">
        <is>
          <t>New patient</t>
        </is>
      </c>
      <c r="E443" t="inlineStr">
        <is>
          <t>THERAPY_B</t>
        </is>
      </c>
      <c r="F443" s="10" t="n">
        <v>46225</v>
      </c>
      <c r="G443" s="10" t="n">
        <v>46239</v>
      </c>
      <c r="H443" t="n">
        <v>11</v>
      </c>
      <c r="I443">
        <f>NETWORKDAYS(F443,G443)</f>
        <v/>
      </c>
      <c r="J443">
        <f>IF(H443=I443,"OK","CHECK")</f>
        <v/>
      </c>
    </row>
    <row r="444">
      <c r="A444" t="inlineStr">
        <is>
          <t>OS03016</t>
        </is>
      </c>
      <c r="B444" t="inlineStr">
        <is>
          <t>Q3 2026</t>
        </is>
      </c>
      <c r="C444" t="inlineStr">
        <is>
          <t>PU01</t>
        </is>
      </c>
      <c r="D444" t="inlineStr">
        <is>
          <t>New patient</t>
        </is>
      </c>
      <c r="E444" t="inlineStr">
        <is>
          <t>THERAPY_F</t>
        </is>
      </c>
      <c r="F444" s="10" t="n">
        <v>46225</v>
      </c>
      <c r="G444" s="10" t="n">
        <v>46253</v>
      </c>
      <c r="H444" t="n">
        <v>21</v>
      </c>
      <c r="I444">
        <f>NETWORKDAYS(F444,G444)</f>
        <v/>
      </c>
      <c r="J444">
        <f>IF(H444=I444,"OK","CHECK")</f>
        <v/>
      </c>
    </row>
    <row r="445">
      <c r="A445" t="inlineStr">
        <is>
          <t>OS03017</t>
        </is>
      </c>
      <c r="B445" t="inlineStr">
        <is>
          <t>Q3 2026</t>
        </is>
      </c>
      <c r="C445" t="inlineStr">
        <is>
          <t>PU07</t>
        </is>
      </c>
      <c r="D445" t="inlineStr">
        <is>
          <t>New patient</t>
        </is>
      </c>
      <c r="E445" t="inlineStr">
        <is>
          <t>THERAPY_B</t>
        </is>
      </c>
      <c r="F445" s="10" t="n">
        <v>46225</v>
      </c>
      <c r="G445" s="10" t="n">
        <v>46258</v>
      </c>
      <c r="H445" t="n">
        <v>24</v>
      </c>
      <c r="I445">
        <f>NETWORKDAYS(F445,G445)</f>
        <v/>
      </c>
      <c r="J445">
        <f>IF(H445=I445,"OK","CHECK")</f>
        <v/>
      </c>
    </row>
    <row r="446">
      <c r="A446" t="inlineStr">
        <is>
          <t>OS03018</t>
        </is>
      </c>
      <c r="B446" t="inlineStr">
        <is>
          <t>Q3 2026</t>
        </is>
      </c>
      <c r="C446" t="inlineStr">
        <is>
          <t>PU01</t>
        </is>
      </c>
      <c r="D446" t="inlineStr">
        <is>
          <t>New patient</t>
        </is>
      </c>
      <c r="E446" t="inlineStr">
        <is>
          <t>THERAPY_B</t>
        </is>
      </c>
      <c r="F446" s="10" t="n">
        <v>46225</v>
      </c>
      <c r="G446" s="10" t="n">
        <v>46261</v>
      </c>
      <c r="H446" t="n">
        <v>27</v>
      </c>
      <c r="I446">
        <f>NETWORKDAYS(F446,G446)</f>
        <v/>
      </c>
      <c r="J446">
        <f>IF(H446=I446,"OK","CHECK")</f>
        <v/>
      </c>
    </row>
    <row r="447">
      <c r="A447" t="inlineStr">
        <is>
          <t>OS03021</t>
        </is>
      </c>
      <c r="B447" t="inlineStr">
        <is>
          <t>Q3 2026</t>
        </is>
      </c>
      <c r="C447" t="inlineStr">
        <is>
          <t>PU99</t>
        </is>
      </c>
      <c r="D447" t="inlineStr">
        <is>
          <t>New patient</t>
        </is>
      </c>
      <c r="E447" t="inlineStr">
        <is>
          <t>THERAPY_B</t>
        </is>
      </c>
      <c r="F447" s="10" t="n">
        <v>46226</v>
      </c>
      <c r="G447" s="10" t="n">
        <v>46253</v>
      </c>
      <c r="H447" t="n">
        <v>20</v>
      </c>
      <c r="I447">
        <f>NETWORKDAYS(F447,G447)</f>
        <v/>
      </c>
      <c r="J447">
        <f>IF(H447=I447,"OK","CHECK")</f>
        <v/>
      </c>
    </row>
    <row r="448">
      <c r="A448" t="inlineStr">
        <is>
          <t>OS03022</t>
        </is>
      </c>
      <c r="B448" t="inlineStr">
        <is>
          <t>Q3 2026</t>
        </is>
      </c>
      <c r="C448" t="inlineStr">
        <is>
          <t>PU01</t>
        </is>
      </c>
      <c r="D448" t="inlineStr">
        <is>
          <t>New patient</t>
        </is>
      </c>
      <c r="E448" t="inlineStr">
        <is>
          <t>THERAPY_G</t>
        </is>
      </c>
      <c r="F448" s="10" t="n">
        <v>46226</v>
      </c>
      <c r="G448" s="10" t="n">
        <v>46234</v>
      </c>
      <c r="H448" t="n">
        <v>7</v>
      </c>
      <c r="I448">
        <f>NETWORKDAYS(F448,G448)</f>
        <v/>
      </c>
      <c r="J448">
        <f>IF(H448=I448,"OK","CHECK")</f>
        <v/>
      </c>
    </row>
    <row r="449">
      <c r="A449" t="inlineStr">
        <is>
          <t>OS03023</t>
        </is>
      </c>
      <c r="B449" t="inlineStr">
        <is>
          <t>Q3 2026</t>
        </is>
      </c>
      <c r="C449" t="inlineStr">
        <is>
          <t>PU99</t>
        </is>
      </c>
      <c r="D449" t="inlineStr">
        <is>
          <t>New patient</t>
        </is>
      </c>
      <c r="E449" t="inlineStr">
        <is>
          <t>THERAPY_E</t>
        </is>
      </c>
      <c r="F449" s="10" t="n">
        <v>46226</v>
      </c>
      <c r="G449" s="10" t="n">
        <v>46261</v>
      </c>
      <c r="H449" t="n">
        <v>26</v>
      </c>
      <c r="I449">
        <f>NETWORKDAYS(F449,G449)</f>
        <v/>
      </c>
      <c r="J449">
        <f>IF(H449=I449,"OK","CHECK")</f>
        <v/>
      </c>
    </row>
    <row r="450">
      <c r="A450" t="inlineStr">
        <is>
          <t>OS03024</t>
        </is>
      </c>
      <c r="B450" t="inlineStr">
        <is>
          <t>Q3 2026</t>
        </is>
      </c>
      <c r="C450" t="inlineStr">
        <is>
          <t>PU05</t>
        </is>
      </c>
      <c r="D450" t="inlineStr">
        <is>
          <t>New patient</t>
        </is>
      </c>
      <c r="E450" t="inlineStr">
        <is>
          <t>THERAPY_E</t>
        </is>
      </c>
      <c r="F450" s="10" t="n">
        <v>46226</v>
      </c>
      <c r="G450" s="10" t="n">
        <v>46255</v>
      </c>
      <c r="H450" t="n">
        <v>22</v>
      </c>
      <c r="I450">
        <f>NETWORKDAYS(F450,G450)</f>
        <v/>
      </c>
      <c r="J450">
        <f>IF(H450=I450,"OK","CHECK")</f>
        <v/>
      </c>
    </row>
    <row r="451">
      <c r="A451" t="inlineStr">
        <is>
          <t>OS03027</t>
        </is>
      </c>
      <c r="B451" t="inlineStr">
        <is>
          <t>Q3 2026</t>
        </is>
      </c>
      <c r="C451" t="inlineStr">
        <is>
          <t>PU04</t>
        </is>
      </c>
      <c r="D451" t="inlineStr">
        <is>
          <t>New patient</t>
        </is>
      </c>
      <c r="E451" t="inlineStr">
        <is>
          <t>THERAPY_F</t>
        </is>
      </c>
      <c r="F451" s="10" t="n">
        <v>46227</v>
      </c>
      <c r="G451" s="10" t="n">
        <v>46261</v>
      </c>
      <c r="H451" t="n">
        <v>25</v>
      </c>
      <c r="I451">
        <f>NETWORKDAYS(F451,G451)</f>
        <v/>
      </c>
      <c r="J451">
        <f>IF(H451=I451,"OK","CHECK")</f>
        <v/>
      </c>
    </row>
    <row r="452">
      <c r="A452" t="inlineStr">
        <is>
          <t>OS03028</t>
        </is>
      </c>
      <c r="B452" t="inlineStr">
        <is>
          <t>Q3 2026</t>
        </is>
      </c>
      <c r="C452" t="inlineStr">
        <is>
          <t>PU07</t>
        </is>
      </c>
      <c r="D452" t="inlineStr">
        <is>
          <t>New patient</t>
        </is>
      </c>
      <c r="E452" t="inlineStr">
        <is>
          <t>THERAPY_B</t>
        </is>
      </c>
      <c r="F452" s="10" t="n">
        <v>46227</v>
      </c>
      <c r="G452" s="10" t="n">
        <v>46252</v>
      </c>
      <c r="H452" t="n">
        <v>18</v>
      </c>
      <c r="I452">
        <f>NETWORKDAYS(F452,G452)</f>
        <v/>
      </c>
      <c r="J452">
        <f>IF(H452=I452,"OK","CHECK")</f>
        <v/>
      </c>
    </row>
    <row r="453">
      <c r="A453" t="inlineStr">
        <is>
          <t>OS03033</t>
        </is>
      </c>
      <c r="B453" t="inlineStr">
        <is>
          <t>Q3 2026</t>
        </is>
      </c>
      <c r="C453" t="inlineStr">
        <is>
          <t>PU01</t>
        </is>
      </c>
      <c r="D453" t="inlineStr">
        <is>
          <t>New patient</t>
        </is>
      </c>
      <c r="E453" t="inlineStr">
        <is>
          <t>THERAPY_C</t>
        </is>
      </c>
      <c r="F453" s="10" t="n">
        <v>46227</v>
      </c>
      <c r="G453" s="10" t="n">
        <v>46245</v>
      </c>
      <c r="H453" t="n">
        <v>13</v>
      </c>
      <c r="I453">
        <f>NETWORKDAYS(F453,G453)</f>
        <v/>
      </c>
      <c r="J453">
        <f>IF(H453=I453,"OK","CHECK")</f>
        <v/>
      </c>
    </row>
    <row r="454">
      <c r="A454" t="inlineStr">
        <is>
          <t>OS03034</t>
        </is>
      </c>
      <c r="B454" t="inlineStr">
        <is>
          <t>Q3 2026</t>
        </is>
      </c>
      <c r="C454" t="inlineStr">
        <is>
          <t>PU99</t>
        </is>
      </c>
      <c r="D454" t="inlineStr">
        <is>
          <t>New patient</t>
        </is>
      </c>
      <c r="E454" t="inlineStr">
        <is>
          <t>THERAPY_D</t>
        </is>
      </c>
      <c r="F454" s="10" t="n">
        <v>46227</v>
      </c>
      <c r="G454" s="10" t="n">
        <v>46260</v>
      </c>
      <c r="H454" t="n">
        <v>24</v>
      </c>
      <c r="I454">
        <f>NETWORKDAYS(F454,G454)</f>
        <v/>
      </c>
      <c r="J454">
        <f>IF(H454=I454,"OK","CHECK")</f>
        <v/>
      </c>
    </row>
    <row r="455">
      <c r="A455" t="inlineStr">
        <is>
          <t>OS03037</t>
        </is>
      </c>
      <c r="B455" t="inlineStr">
        <is>
          <t>Q3 2026</t>
        </is>
      </c>
      <c r="C455" t="inlineStr">
        <is>
          <t>PU04</t>
        </is>
      </c>
      <c r="D455" t="inlineStr">
        <is>
          <t>New patient</t>
        </is>
      </c>
      <c r="E455" t="inlineStr">
        <is>
          <t>THERAPY_B</t>
        </is>
      </c>
      <c r="F455" s="10" t="n">
        <v>46230</v>
      </c>
      <c r="G455" s="10" t="n">
        <v>46255</v>
      </c>
      <c r="H455" t="n">
        <v>20</v>
      </c>
      <c r="I455">
        <f>NETWORKDAYS(F455,G455)</f>
        <v/>
      </c>
      <c r="J455">
        <f>IF(H455=I455,"OK","CHECK")</f>
        <v/>
      </c>
    </row>
    <row r="456">
      <c r="A456" t="inlineStr">
        <is>
          <t>OS03039</t>
        </is>
      </c>
      <c r="B456" t="inlineStr">
        <is>
          <t>Q3 2026</t>
        </is>
      </c>
      <c r="C456" t="inlineStr">
        <is>
          <t>PU01</t>
        </is>
      </c>
      <c r="D456" t="inlineStr">
        <is>
          <t>New patient</t>
        </is>
      </c>
      <c r="E456" t="inlineStr">
        <is>
          <t>THERAPY_E</t>
        </is>
      </c>
      <c r="F456" s="10" t="n">
        <v>46230</v>
      </c>
      <c r="G456" s="10" t="n">
        <v>46248</v>
      </c>
      <c r="H456" t="n">
        <v>15</v>
      </c>
      <c r="I456">
        <f>NETWORKDAYS(F456,G456)</f>
        <v/>
      </c>
      <c r="J456">
        <f>IF(H456=I456,"OK","CHECK")</f>
        <v/>
      </c>
    </row>
    <row r="457">
      <c r="A457" t="inlineStr">
        <is>
          <t>OS03040</t>
        </is>
      </c>
      <c r="B457" t="inlineStr">
        <is>
          <t>Q3 2026</t>
        </is>
      </c>
      <c r="C457" t="inlineStr">
        <is>
          <t>PU07</t>
        </is>
      </c>
      <c r="D457" t="inlineStr">
        <is>
          <t>New patient</t>
        </is>
      </c>
      <c r="E457" t="inlineStr">
        <is>
          <t>THERAPY_H</t>
        </is>
      </c>
      <c r="F457" s="10" t="n">
        <v>46231</v>
      </c>
      <c r="G457" s="10" t="n">
        <v>46259</v>
      </c>
      <c r="H457" t="n">
        <v>21</v>
      </c>
      <c r="I457">
        <f>NETWORKDAYS(F457,G457)</f>
        <v/>
      </c>
      <c r="J457">
        <f>IF(H457=I457,"OK","CHECK")</f>
        <v/>
      </c>
    </row>
    <row r="458">
      <c r="A458" t="inlineStr">
        <is>
          <t>OS03042</t>
        </is>
      </c>
      <c r="B458" t="inlineStr">
        <is>
          <t>Q3 2026</t>
        </is>
      </c>
      <c r="C458" t="inlineStr">
        <is>
          <t>PU07</t>
        </is>
      </c>
      <c r="D458" t="inlineStr">
        <is>
          <t>New patient</t>
        </is>
      </c>
      <c r="E458" t="inlineStr">
        <is>
          <t>THERAPY_J</t>
        </is>
      </c>
      <c r="F458" s="10" t="n">
        <v>46231</v>
      </c>
      <c r="G458" s="10" t="n">
        <v>46255</v>
      </c>
      <c r="H458" t="n">
        <v>19</v>
      </c>
      <c r="I458">
        <f>NETWORKDAYS(F458,G458)</f>
        <v/>
      </c>
      <c r="J458">
        <f>IF(H458=I458,"OK","CHECK")</f>
        <v/>
      </c>
    </row>
    <row r="459">
      <c r="A459" t="inlineStr">
        <is>
          <t>OS03044</t>
        </is>
      </c>
      <c r="B459" t="inlineStr">
        <is>
          <t>Q3 2026</t>
        </is>
      </c>
      <c r="C459" t="inlineStr">
        <is>
          <t>PU08</t>
        </is>
      </c>
      <c r="D459" t="inlineStr">
        <is>
          <t>New patient</t>
        </is>
      </c>
      <c r="E459" t="inlineStr">
        <is>
          <t>THERAPY_H</t>
        </is>
      </c>
      <c r="F459" s="10" t="n">
        <v>46231</v>
      </c>
      <c r="G459" s="10" t="n">
        <v>46258</v>
      </c>
      <c r="H459" t="n">
        <v>20</v>
      </c>
      <c r="I459">
        <f>NETWORKDAYS(F459,G459)</f>
        <v/>
      </c>
      <c r="J459">
        <f>IF(H459=I459,"OK","CHECK")</f>
        <v/>
      </c>
    </row>
    <row r="460">
      <c r="A460" t="inlineStr">
        <is>
          <t>OS03046</t>
        </is>
      </c>
      <c r="B460" t="inlineStr">
        <is>
          <t>Q3 2026</t>
        </is>
      </c>
      <c r="C460" t="inlineStr">
        <is>
          <t>PU01</t>
        </is>
      </c>
      <c r="D460" t="inlineStr">
        <is>
          <t>New patient</t>
        </is>
      </c>
      <c r="E460" t="inlineStr">
        <is>
          <t>THERAPY_B</t>
        </is>
      </c>
      <c r="F460" s="10" t="n">
        <v>46231</v>
      </c>
      <c r="G460" s="10" t="n">
        <v>46260</v>
      </c>
      <c r="H460" t="n">
        <v>22</v>
      </c>
      <c r="I460">
        <f>NETWORKDAYS(F460,G460)</f>
        <v/>
      </c>
      <c r="J460">
        <f>IF(H460=I460,"OK","CHECK")</f>
        <v/>
      </c>
    </row>
    <row r="461">
      <c r="A461" t="inlineStr">
        <is>
          <t>OS03047</t>
        </is>
      </c>
      <c r="B461" t="inlineStr">
        <is>
          <t>Q3 2026</t>
        </is>
      </c>
      <c r="C461" t="inlineStr">
        <is>
          <t>PU07</t>
        </is>
      </c>
      <c r="D461" t="inlineStr">
        <is>
          <t>New therapy</t>
        </is>
      </c>
      <c r="E461" t="inlineStr">
        <is>
          <t>THERAPY_J</t>
        </is>
      </c>
      <c r="F461" s="10" t="n">
        <v>46231</v>
      </c>
      <c r="G461" s="10" t="n">
        <v>46260</v>
      </c>
      <c r="H461" t="n">
        <v>22</v>
      </c>
      <c r="I461">
        <f>NETWORKDAYS(F461,G461)</f>
        <v/>
      </c>
      <c r="J461">
        <f>IF(H461=I461,"OK","CHECK")</f>
        <v/>
      </c>
    </row>
    <row r="462">
      <c r="A462" t="inlineStr">
        <is>
          <t>OS03051</t>
        </is>
      </c>
      <c r="B462" t="inlineStr">
        <is>
          <t>Q3 2026</t>
        </is>
      </c>
      <c r="C462" t="inlineStr">
        <is>
          <t>PU03</t>
        </is>
      </c>
      <c r="D462" t="inlineStr">
        <is>
          <t>New patient</t>
        </is>
      </c>
      <c r="E462" t="inlineStr">
        <is>
          <t>THERAPY_A</t>
        </is>
      </c>
      <c r="F462" s="10" t="n">
        <v>46232</v>
      </c>
      <c r="G462" s="10" t="n">
        <v>46248</v>
      </c>
      <c r="H462" t="n">
        <v>13</v>
      </c>
      <c r="I462">
        <f>NETWORKDAYS(F462,G462)</f>
        <v/>
      </c>
      <c r="J462">
        <f>IF(H462=I462,"OK","CHECK")</f>
        <v/>
      </c>
    </row>
    <row r="463">
      <c r="A463" t="inlineStr">
        <is>
          <t>OS03052</t>
        </is>
      </c>
      <c r="B463" t="inlineStr">
        <is>
          <t>Q3 2026</t>
        </is>
      </c>
      <c r="C463" t="inlineStr">
        <is>
          <t>PU03</t>
        </is>
      </c>
      <c r="D463" t="inlineStr">
        <is>
          <t>New patient</t>
        </is>
      </c>
      <c r="E463" t="inlineStr">
        <is>
          <t>THERAPY_B</t>
        </is>
      </c>
      <c r="F463" s="10" t="n">
        <v>46232</v>
      </c>
      <c r="G463" s="10" t="n">
        <v>46280</v>
      </c>
      <c r="H463" t="n">
        <v>35</v>
      </c>
      <c r="I463">
        <f>NETWORKDAYS(F463,G463)</f>
        <v/>
      </c>
      <c r="J463">
        <f>IF(H463=I463,"OK","CHECK")</f>
        <v/>
      </c>
    </row>
    <row r="464">
      <c r="A464" t="inlineStr">
        <is>
          <t>OS03054</t>
        </is>
      </c>
      <c r="B464" t="inlineStr">
        <is>
          <t>Q3 2026</t>
        </is>
      </c>
      <c r="C464" t="inlineStr">
        <is>
          <t>PU10</t>
        </is>
      </c>
      <c r="D464" t="inlineStr">
        <is>
          <t>New patient</t>
        </is>
      </c>
      <c r="E464" t="inlineStr">
        <is>
          <t>THERAPY_A</t>
        </is>
      </c>
      <c r="F464" s="10" t="n">
        <v>46233</v>
      </c>
      <c r="G464" s="10" t="n">
        <v>46246</v>
      </c>
      <c r="H464" t="n">
        <v>10</v>
      </c>
      <c r="I464">
        <f>NETWORKDAYS(F464,G464)</f>
        <v/>
      </c>
      <c r="J464">
        <f>IF(H464=I464,"OK","CHECK")</f>
        <v/>
      </c>
    </row>
    <row r="465">
      <c r="A465" t="inlineStr">
        <is>
          <t>OS03055</t>
        </is>
      </c>
      <c r="B465" t="inlineStr">
        <is>
          <t>Q3 2026</t>
        </is>
      </c>
      <c r="C465" t="inlineStr">
        <is>
          <t>PU05</t>
        </is>
      </c>
      <c r="D465" t="inlineStr">
        <is>
          <t>New patient</t>
        </is>
      </c>
      <c r="E465" t="inlineStr">
        <is>
          <t>THERAPY_B</t>
        </is>
      </c>
      <c r="F465" s="10" t="n">
        <v>46233</v>
      </c>
      <c r="G465" s="10" t="n">
        <v>46260</v>
      </c>
      <c r="H465" t="n">
        <v>20</v>
      </c>
      <c r="I465">
        <f>NETWORKDAYS(F465,G465)</f>
        <v/>
      </c>
      <c r="J465">
        <f>IF(H465=I465,"OK","CHECK")</f>
        <v/>
      </c>
    </row>
    <row r="466">
      <c r="A466" t="inlineStr">
        <is>
          <t>OS03057</t>
        </is>
      </c>
      <c r="B466" t="inlineStr">
        <is>
          <t>Q3 2026</t>
        </is>
      </c>
      <c r="C466" t="inlineStr">
        <is>
          <t>PU01</t>
        </is>
      </c>
      <c r="D466" t="inlineStr">
        <is>
          <t>New patient</t>
        </is>
      </c>
      <c r="E466" t="inlineStr">
        <is>
          <t>THERAPY_D</t>
        </is>
      </c>
      <c r="F466" s="10" t="n">
        <v>46233</v>
      </c>
      <c r="G466" s="10" t="n">
        <v>46266</v>
      </c>
      <c r="H466" t="n">
        <v>24</v>
      </c>
      <c r="I466">
        <f>NETWORKDAYS(F466,G466)</f>
        <v/>
      </c>
      <c r="J466">
        <f>IF(H466=I466,"OK","CHECK")</f>
        <v/>
      </c>
    </row>
    <row r="467">
      <c r="A467" t="inlineStr">
        <is>
          <t>OS03058</t>
        </is>
      </c>
      <c r="B467" t="inlineStr">
        <is>
          <t>Q3 2026</t>
        </is>
      </c>
      <c r="C467" t="inlineStr">
        <is>
          <t>PU01</t>
        </is>
      </c>
      <c r="D467" t="inlineStr">
        <is>
          <t>New patient</t>
        </is>
      </c>
      <c r="E467" t="inlineStr">
        <is>
          <t>THERAPY_E</t>
        </is>
      </c>
      <c r="F467" s="10" t="n">
        <v>46233</v>
      </c>
      <c r="G467" s="10" t="n">
        <v>46252</v>
      </c>
      <c r="H467" t="n">
        <v>14</v>
      </c>
      <c r="I467">
        <f>NETWORKDAYS(F467,G467)</f>
        <v/>
      </c>
      <c r="J467">
        <f>IF(H467=I467,"OK","CHECK")</f>
        <v/>
      </c>
    </row>
    <row r="468">
      <c r="A468" t="inlineStr">
        <is>
          <t>OS03059</t>
        </is>
      </c>
      <c r="B468" t="inlineStr">
        <is>
          <t>Q3 2026</t>
        </is>
      </c>
      <c r="C468" t="inlineStr">
        <is>
          <t>PU01</t>
        </is>
      </c>
      <c r="D468" t="inlineStr">
        <is>
          <t>New patient</t>
        </is>
      </c>
      <c r="E468" t="inlineStr">
        <is>
          <t>THERAPY_E</t>
        </is>
      </c>
      <c r="F468" s="10" t="n">
        <v>46234</v>
      </c>
      <c r="G468" s="10" t="n">
        <v>46259</v>
      </c>
      <c r="H468" t="n">
        <v>18</v>
      </c>
      <c r="I468">
        <f>NETWORKDAYS(F468,G468)</f>
        <v/>
      </c>
      <c r="J468">
        <f>IF(H468=I468,"OK","CHECK")</f>
        <v/>
      </c>
    </row>
    <row r="469">
      <c r="A469" t="inlineStr">
        <is>
          <t>OS03060</t>
        </is>
      </c>
      <c r="B469" t="inlineStr">
        <is>
          <t>Q3 2026</t>
        </is>
      </c>
      <c r="C469" t="inlineStr">
        <is>
          <t>PU99</t>
        </is>
      </c>
      <c r="D469" t="inlineStr">
        <is>
          <t>New patient</t>
        </is>
      </c>
      <c r="E469" t="inlineStr">
        <is>
          <t>THERAPY_D</t>
        </is>
      </c>
      <c r="F469" s="10" t="n">
        <v>46234</v>
      </c>
      <c r="G469" s="10" t="n">
        <v>46253</v>
      </c>
      <c r="H469" t="n">
        <v>14</v>
      </c>
      <c r="I469">
        <f>NETWORKDAYS(F469,G469)</f>
        <v/>
      </c>
      <c r="J469">
        <f>IF(H469=I469,"OK","CHECK")</f>
        <v/>
      </c>
    </row>
    <row r="470">
      <c r="A470" t="inlineStr">
        <is>
          <t>OS03061</t>
        </is>
      </c>
      <c r="B470" t="inlineStr">
        <is>
          <t>Q3 2026</t>
        </is>
      </c>
      <c r="C470" t="inlineStr">
        <is>
          <t>PU02</t>
        </is>
      </c>
      <c r="D470" t="inlineStr">
        <is>
          <t>New patient</t>
        </is>
      </c>
      <c r="E470" t="inlineStr">
        <is>
          <t>THERAPY_A</t>
        </is>
      </c>
      <c r="F470" s="10" t="n">
        <v>46234</v>
      </c>
      <c r="G470" s="10" t="n">
        <v>46267</v>
      </c>
      <c r="H470" t="n">
        <v>24</v>
      </c>
      <c r="I470">
        <f>NETWORKDAYS(F470,G470)</f>
        <v/>
      </c>
      <c r="J470">
        <f>IF(H470=I470,"OK","CHECK")</f>
        <v/>
      </c>
    </row>
    <row r="471">
      <c r="A471" t="inlineStr">
        <is>
          <t>OS03062</t>
        </is>
      </c>
      <c r="B471" t="inlineStr">
        <is>
          <t>Q3 2026</t>
        </is>
      </c>
      <c r="C471" t="inlineStr">
        <is>
          <t>PU05</t>
        </is>
      </c>
      <c r="D471" t="inlineStr">
        <is>
          <t>New patient</t>
        </is>
      </c>
      <c r="E471" t="inlineStr">
        <is>
          <t>THERAPY_H</t>
        </is>
      </c>
      <c r="F471" s="10" t="n">
        <v>46234</v>
      </c>
      <c r="G471" s="10" t="n">
        <v>46267</v>
      </c>
      <c r="H471" t="n">
        <v>24</v>
      </c>
      <c r="I471">
        <f>NETWORKDAYS(F471,G471)</f>
        <v/>
      </c>
      <c r="J471">
        <f>IF(H471=I471,"OK","CHECK")</f>
        <v/>
      </c>
    </row>
    <row r="472">
      <c r="A472" t="inlineStr">
        <is>
          <t>OS03063</t>
        </is>
      </c>
      <c r="B472" t="inlineStr">
        <is>
          <t>Q3 2026</t>
        </is>
      </c>
      <c r="C472" t="inlineStr">
        <is>
          <t>PU05</t>
        </is>
      </c>
      <c r="D472" t="inlineStr">
        <is>
          <t>New patient</t>
        </is>
      </c>
      <c r="E472" t="inlineStr">
        <is>
          <t>THERAPY_F</t>
        </is>
      </c>
      <c r="F472" s="10" t="n">
        <v>46234</v>
      </c>
      <c r="G472" s="10" t="n">
        <v>46290</v>
      </c>
      <c r="H472" t="n">
        <v>41</v>
      </c>
      <c r="I472">
        <f>NETWORKDAYS(F472,G472)</f>
        <v/>
      </c>
      <c r="J472">
        <f>IF(H472=I472,"OK","CHECK")</f>
        <v/>
      </c>
    </row>
    <row r="473">
      <c r="A473" t="inlineStr">
        <is>
          <t>OS03064</t>
        </is>
      </c>
      <c r="B473" t="inlineStr">
        <is>
          <t>Q3 2026</t>
        </is>
      </c>
      <c r="C473" t="inlineStr">
        <is>
          <t>PU01</t>
        </is>
      </c>
      <c r="D473" t="inlineStr">
        <is>
          <t>New patient</t>
        </is>
      </c>
      <c r="E473" t="inlineStr">
        <is>
          <t>THERAPY_B</t>
        </is>
      </c>
      <c r="F473" s="10" t="n">
        <v>46234</v>
      </c>
      <c r="G473" s="10" t="n">
        <v>46254</v>
      </c>
      <c r="H473" t="n">
        <v>15</v>
      </c>
      <c r="I473">
        <f>NETWORKDAYS(F473,G473)</f>
        <v/>
      </c>
      <c r="J473">
        <f>IF(H473=I473,"OK","CHECK")</f>
        <v/>
      </c>
    </row>
    <row r="474">
      <c r="A474" t="inlineStr">
        <is>
          <t>OS03065</t>
        </is>
      </c>
      <c r="B474" t="inlineStr">
        <is>
          <t>Q3 2026</t>
        </is>
      </c>
      <c r="C474" t="inlineStr">
        <is>
          <t>PU06</t>
        </is>
      </c>
      <c r="D474" t="inlineStr">
        <is>
          <t>New patient</t>
        </is>
      </c>
      <c r="E474" t="inlineStr">
        <is>
          <t>THERAPY_E</t>
        </is>
      </c>
      <c r="F474" s="10" t="n">
        <v>46234</v>
      </c>
      <c r="G474" s="10" t="n">
        <v>46258</v>
      </c>
      <c r="H474" t="n">
        <v>17</v>
      </c>
      <c r="I474">
        <f>NETWORKDAYS(F474,G474)</f>
        <v/>
      </c>
      <c r="J474">
        <f>IF(H474=I474,"OK","CHECK")</f>
        <v/>
      </c>
    </row>
    <row r="475">
      <c r="A475" t="inlineStr">
        <is>
          <t>OS03066</t>
        </is>
      </c>
      <c r="B475" t="inlineStr">
        <is>
          <t>Q3 2026</t>
        </is>
      </c>
      <c r="C475" t="inlineStr">
        <is>
          <t>PU01</t>
        </is>
      </c>
      <c r="D475" t="inlineStr">
        <is>
          <t>New patient</t>
        </is>
      </c>
      <c r="E475" t="inlineStr">
        <is>
          <t>THERAPY_F</t>
        </is>
      </c>
      <c r="F475" s="10" t="n">
        <v>46237</v>
      </c>
      <c r="G475" s="10" t="n">
        <v>46267</v>
      </c>
      <c r="H475" t="n">
        <v>23</v>
      </c>
      <c r="I475">
        <f>NETWORKDAYS(F475,G475)</f>
        <v/>
      </c>
      <c r="J475">
        <f>IF(H475=I475,"OK","CHECK")</f>
        <v/>
      </c>
    </row>
    <row r="476">
      <c r="A476" t="inlineStr">
        <is>
          <t>OS03067</t>
        </is>
      </c>
      <c r="B476" t="inlineStr">
        <is>
          <t>Q3 2026</t>
        </is>
      </c>
      <c r="C476" t="inlineStr">
        <is>
          <t>PU06</t>
        </is>
      </c>
      <c r="D476" t="inlineStr">
        <is>
          <t>New patient</t>
        </is>
      </c>
      <c r="E476" t="inlineStr">
        <is>
          <t>THERAPY_E</t>
        </is>
      </c>
      <c r="F476" s="10" t="n">
        <v>46237</v>
      </c>
      <c r="G476" s="10" t="n">
        <v>46261</v>
      </c>
      <c r="H476" t="n">
        <v>19</v>
      </c>
      <c r="I476">
        <f>NETWORKDAYS(F476,G476)</f>
        <v/>
      </c>
      <c r="J476">
        <f>IF(H476=I476,"OK","CHECK")</f>
        <v/>
      </c>
    </row>
    <row r="477">
      <c r="A477" t="inlineStr">
        <is>
          <t>OS03068</t>
        </is>
      </c>
      <c r="B477" t="inlineStr">
        <is>
          <t>Q3 2026</t>
        </is>
      </c>
      <c r="C477" t="inlineStr">
        <is>
          <t>PU02</t>
        </is>
      </c>
      <c r="D477" t="inlineStr">
        <is>
          <t>New patient</t>
        </is>
      </c>
      <c r="E477" t="inlineStr">
        <is>
          <t>THERAPY_C</t>
        </is>
      </c>
      <c r="F477" s="10" t="n">
        <v>46237</v>
      </c>
      <c r="G477" s="10" t="n">
        <v>46261</v>
      </c>
      <c r="H477" t="n">
        <v>19</v>
      </c>
      <c r="I477">
        <f>NETWORKDAYS(F477,G477)</f>
        <v/>
      </c>
      <c r="J477">
        <f>IF(H477=I477,"OK","CHECK")</f>
        <v/>
      </c>
    </row>
    <row r="478">
      <c r="A478" t="inlineStr">
        <is>
          <t>OS03070</t>
        </is>
      </c>
      <c r="B478" t="inlineStr">
        <is>
          <t>Q3 2026</t>
        </is>
      </c>
      <c r="C478" t="inlineStr">
        <is>
          <t>PU07</t>
        </is>
      </c>
      <c r="D478" t="inlineStr">
        <is>
          <t>New patient</t>
        </is>
      </c>
      <c r="E478" t="inlineStr">
        <is>
          <t>THERAPY_H</t>
        </is>
      </c>
      <c r="F478" s="10" t="n">
        <v>46237</v>
      </c>
      <c r="G478" s="10" t="n">
        <v>46276</v>
      </c>
      <c r="H478" t="n">
        <v>30</v>
      </c>
      <c r="I478">
        <f>NETWORKDAYS(F478,G478)</f>
        <v/>
      </c>
      <c r="J478">
        <f>IF(H478=I478,"OK","CHECK")</f>
        <v/>
      </c>
    </row>
    <row r="479">
      <c r="A479" t="inlineStr">
        <is>
          <t>OS03071</t>
        </is>
      </c>
      <c r="B479" t="inlineStr">
        <is>
          <t>Q3 2026</t>
        </is>
      </c>
      <c r="C479" t="inlineStr">
        <is>
          <t>PU01</t>
        </is>
      </c>
      <c r="D479" t="inlineStr">
        <is>
          <t>New patient</t>
        </is>
      </c>
      <c r="E479" t="inlineStr">
        <is>
          <t>THERAPY_H</t>
        </is>
      </c>
      <c r="F479" s="10" t="n">
        <v>46237</v>
      </c>
      <c r="G479" s="10" t="n">
        <v>46265</v>
      </c>
      <c r="H479" t="n">
        <v>21</v>
      </c>
      <c r="I479">
        <f>NETWORKDAYS(F479,G479)</f>
        <v/>
      </c>
      <c r="J479">
        <f>IF(H479=I479,"OK","CHECK")</f>
        <v/>
      </c>
    </row>
    <row r="480">
      <c r="A480" t="inlineStr">
        <is>
          <t>OS03072</t>
        </is>
      </c>
      <c r="B480" t="inlineStr">
        <is>
          <t>Q3 2026</t>
        </is>
      </c>
      <c r="C480" t="inlineStr">
        <is>
          <t>PU01</t>
        </is>
      </c>
      <c r="D480" t="inlineStr">
        <is>
          <t>New patient</t>
        </is>
      </c>
      <c r="E480" t="inlineStr">
        <is>
          <t>THERAPY_E</t>
        </is>
      </c>
      <c r="F480" s="10" t="n">
        <v>46237</v>
      </c>
      <c r="G480" s="10" t="n">
        <v>46261</v>
      </c>
      <c r="H480" t="n">
        <v>19</v>
      </c>
      <c r="I480">
        <f>NETWORKDAYS(F480,G480)</f>
        <v/>
      </c>
      <c r="J480">
        <f>IF(H480=I480,"OK","CHECK")</f>
        <v/>
      </c>
    </row>
    <row r="481">
      <c r="A481" t="inlineStr">
        <is>
          <t>OS03074</t>
        </is>
      </c>
      <c r="B481" t="inlineStr">
        <is>
          <t>Q3 2026</t>
        </is>
      </c>
      <c r="C481" t="inlineStr">
        <is>
          <t>PU04</t>
        </is>
      </c>
      <c r="D481" t="inlineStr">
        <is>
          <t>New patient</t>
        </is>
      </c>
      <c r="E481" t="inlineStr">
        <is>
          <t>THERAPY_G</t>
        </is>
      </c>
      <c r="F481" s="10" t="n">
        <v>46238</v>
      </c>
      <c r="G481" s="10" t="n">
        <v>46261</v>
      </c>
      <c r="H481" t="n">
        <v>18</v>
      </c>
      <c r="I481">
        <f>NETWORKDAYS(F481,G481)</f>
        <v/>
      </c>
      <c r="J481">
        <f>IF(H481=I481,"OK","CHECK")</f>
        <v/>
      </c>
    </row>
    <row r="482">
      <c r="A482" t="inlineStr">
        <is>
          <t>OS03075</t>
        </is>
      </c>
      <c r="B482" t="inlineStr">
        <is>
          <t>Q3 2026</t>
        </is>
      </c>
      <c r="C482" t="inlineStr">
        <is>
          <t>PU07</t>
        </is>
      </c>
      <c r="D482" t="inlineStr">
        <is>
          <t>New therapy</t>
        </is>
      </c>
      <c r="E482" t="inlineStr">
        <is>
          <t>THERAPY_B</t>
        </is>
      </c>
      <c r="F482" s="10" t="n">
        <v>46238</v>
      </c>
      <c r="G482" s="10" t="n">
        <v>46279</v>
      </c>
      <c r="H482" t="n">
        <v>30</v>
      </c>
      <c r="I482">
        <f>NETWORKDAYS(F482,G482)</f>
        <v/>
      </c>
      <c r="J482">
        <f>IF(H482=I482,"OK","CHECK")</f>
        <v/>
      </c>
    </row>
    <row r="483">
      <c r="A483" t="inlineStr">
        <is>
          <t>OS03077</t>
        </is>
      </c>
      <c r="B483" t="inlineStr">
        <is>
          <t>Q3 2026</t>
        </is>
      </c>
      <c r="C483" t="inlineStr">
        <is>
          <t>PU08</t>
        </is>
      </c>
      <c r="D483" t="inlineStr">
        <is>
          <t>New patient</t>
        </is>
      </c>
      <c r="E483" t="inlineStr">
        <is>
          <t>THERAPY_F</t>
        </is>
      </c>
      <c r="F483" s="10" t="n">
        <v>46239</v>
      </c>
      <c r="G483" s="10" t="n">
        <v>46273</v>
      </c>
      <c r="H483" t="n">
        <v>25</v>
      </c>
      <c r="I483">
        <f>NETWORKDAYS(F483,G483)</f>
        <v/>
      </c>
      <c r="J483">
        <f>IF(H483=I483,"OK","CHECK")</f>
        <v/>
      </c>
    </row>
    <row r="484">
      <c r="A484" t="inlineStr">
        <is>
          <t>OS03079</t>
        </is>
      </c>
      <c r="B484" t="inlineStr">
        <is>
          <t>Q3 2026</t>
        </is>
      </c>
      <c r="C484" t="inlineStr">
        <is>
          <t>PU04</t>
        </is>
      </c>
      <c r="D484" t="inlineStr">
        <is>
          <t>New patient</t>
        </is>
      </c>
      <c r="E484" t="inlineStr">
        <is>
          <t>THERAPY_D</t>
        </is>
      </c>
      <c r="F484" s="10" t="n">
        <v>46239</v>
      </c>
      <c r="G484" s="10" t="n">
        <v>46288</v>
      </c>
      <c r="H484" t="n">
        <v>36</v>
      </c>
      <c r="I484">
        <f>NETWORKDAYS(F484,G484)</f>
        <v/>
      </c>
      <c r="J484">
        <f>IF(H484=I484,"OK","CHECK")</f>
        <v/>
      </c>
    </row>
    <row r="485">
      <c r="A485" t="inlineStr">
        <is>
          <t>OS03080</t>
        </is>
      </c>
      <c r="B485" t="inlineStr">
        <is>
          <t>Q3 2026</t>
        </is>
      </c>
      <c r="C485" t="inlineStr">
        <is>
          <t>PU10</t>
        </is>
      </c>
      <c r="D485" t="inlineStr">
        <is>
          <t>New patient</t>
        </is>
      </c>
      <c r="E485" t="inlineStr">
        <is>
          <t>THERAPY_E</t>
        </is>
      </c>
      <c r="F485" s="10" t="n">
        <v>46239</v>
      </c>
      <c r="G485" s="10" t="n">
        <v>46261</v>
      </c>
      <c r="H485" t="n">
        <v>17</v>
      </c>
      <c r="I485">
        <f>NETWORKDAYS(F485,G485)</f>
        <v/>
      </c>
      <c r="J485">
        <f>IF(H485=I485,"OK","CHECK")</f>
        <v/>
      </c>
    </row>
    <row r="486">
      <c r="A486" t="inlineStr">
        <is>
          <t>OS03081</t>
        </is>
      </c>
      <c r="B486" t="inlineStr">
        <is>
          <t>Q3 2026</t>
        </is>
      </c>
      <c r="C486" t="inlineStr">
        <is>
          <t>PU02</t>
        </is>
      </c>
      <c r="D486" t="inlineStr">
        <is>
          <t>New therapy</t>
        </is>
      </c>
      <c r="E486" t="inlineStr">
        <is>
          <t>THERAPY_A</t>
        </is>
      </c>
      <c r="F486" s="10" t="n">
        <v>46239</v>
      </c>
      <c r="G486" s="10" t="n">
        <v>46259</v>
      </c>
      <c r="H486" t="n">
        <v>15</v>
      </c>
      <c r="I486">
        <f>NETWORKDAYS(F486,G486)</f>
        <v/>
      </c>
      <c r="J486">
        <f>IF(H486=I486,"OK","CHECK")</f>
        <v/>
      </c>
    </row>
    <row r="487">
      <c r="A487" t="inlineStr">
        <is>
          <t>OS03082</t>
        </is>
      </c>
      <c r="B487" t="inlineStr">
        <is>
          <t>Q3 2026</t>
        </is>
      </c>
      <c r="C487" t="inlineStr">
        <is>
          <t>PU99</t>
        </is>
      </c>
      <c r="D487" t="inlineStr">
        <is>
          <t>New patient</t>
        </is>
      </c>
      <c r="E487" t="inlineStr">
        <is>
          <t>THERAPY_H</t>
        </is>
      </c>
      <c r="F487" s="10" t="n">
        <v>46240</v>
      </c>
      <c r="G487" s="10" t="n">
        <v>46273</v>
      </c>
      <c r="H487" t="n">
        <v>24</v>
      </c>
      <c r="I487">
        <f>NETWORKDAYS(F487,G487)</f>
        <v/>
      </c>
      <c r="J487">
        <f>IF(H487=I487,"OK","CHECK")</f>
        <v/>
      </c>
    </row>
    <row r="488">
      <c r="A488" t="inlineStr">
        <is>
          <t>OS03083</t>
        </is>
      </c>
      <c r="B488" t="inlineStr">
        <is>
          <t>Q3 2026</t>
        </is>
      </c>
      <c r="C488" t="inlineStr">
        <is>
          <t>PU09</t>
        </is>
      </c>
      <c r="D488" t="inlineStr">
        <is>
          <t>New patient</t>
        </is>
      </c>
      <c r="E488" t="inlineStr">
        <is>
          <t>THERAPY_G</t>
        </is>
      </c>
      <c r="F488" s="10" t="n">
        <v>46240</v>
      </c>
      <c r="G488" s="10" t="n">
        <v>46288</v>
      </c>
      <c r="H488" t="n">
        <v>35</v>
      </c>
      <c r="I488">
        <f>NETWORKDAYS(F488,G488)</f>
        <v/>
      </c>
      <c r="J488">
        <f>IF(H488=I488,"OK","CHECK")</f>
        <v/>
      </c>
    </row>
    <row r="489">
      <c r="A489" t="inlineStr">
        <is>
          <t>OS03084</t>
        </is>
      </c>
      <c r="B489" t="inlineStr">
        <is>
          <t>Q3 2026</t>
        </is>
      </c>
      <c r="C489" t="inlineStr">
        <is>
          <t>PU99</t>
        </is>
      </c>
      <c r="D489" t="inlineStr">
        <is>
          <t>New patient</t>
        </is>
      </c>
      <c r="E489" t="inlineStr">
        <is>
          <t>THERAPY_F</t>
        </is>
      </c>
      <c r="F489" s="10" t="n">
        <v>46240</v>
      </c>
      <c r="G489" s="10" t="n">
        <v>46255</v>
      </c>
      <c r="H489" t="n">
        <v>12</v>
      </c>
      <c r="I489">
        <f>NETWORKDAYS(F489,G489)</f>
        <v/>
      </c>
      <c r="J489">
        <f>IF(H489=I489,"OK","CHECK")</f>
        <v/>
      </c>
    </row>
    <row r="490">
      <c r="A490" t="inlineStr">
        <is>
          <t>OS03085</t>
        </is>
      </c>
      <c r="B490" t="inlineStr">
        <is>
          <t>Q3 2026</t>
        </is>
      </c>
      <c r="C490" t="inlineStr">
        <is>
          <t>PU99</t>
        </is>
      </c>
      <c r="D490" t="inlineStr">
        <is>
          <t>New patient</t>
        </is>
      </c>
      <c r="E490" t="inlineStr">
        <is>
          <t>THERAPY_A</t>
        </is>
      </c>
      <c r="F490" s="10" t="n">
        <v>46240</v>
      </c>
      <c r="G490" s="10" t="n">
        <v>46265</v>
      </c>
      <c r="H490" t="n">
        <v>18</v>
      </c>
      <c r="I490">
        <f>NETWORKDAYS(F490,G490)</f>
        <v/>
      </c>
      <c r="J490">
        <f>IF(H490=I490,"OK","CHECK")</f>
        <v/>
      </c>
    </row>
    <row r="491">
      <c r="A491" t="inlineStr">
        <is>
          <t>OS03087</t>
        </is>
      </c>
      <c r="B491" t="inlineStr">
        <is>
          <t>Q3 2026</t>
        </is>
      </c>
      <c r="C491" t="inlineStr">
        <is>
          <t>PU01</t>
        </is>
      </c>
      <c r="D491" t="inlineStr">
        <is>
          <t>New patient</t>
        </is>
      </c>
      <c r="E491" t="inlineStr">
        <is>
          <t>THERAPY_F</t>
        </is>
      </c>
      <c r="F491" s="10" t="n">
        <v>46241</v>
      </c>
      <c r="G491" s="10" t="n">
        <v>46266</v>
      </c>
      <c r="H491" t="n">
        <v>18</v>
      </c>
      <c r="I491">
        <f>NETWORKDAYS(F491,G491)</f>
        <v/>
      </c>
      <c r="J491">
        <f>IF(H491=I491,"OK","CHECK")</f>
        <v/>
      </c>
    </row>
    <row r="492">
      <c r="A492" t="inlineStr">
        <is>
          <t>OS03088</t>
        </is>
      </c>
      <c r="B492" t="inlineStr">
        <is>
          <t>Q3 2026</t>
        </is>
      </c>
      <c r="C492" t="inlineStr">
        <is>
          <t>PU02</t>
        </is>
      </c>
      <c r="D492" t="inlineStr">
        <is>
          <t>New patient</t>
        </is>
      </c>
      <c r="E492" t="inlineStr">
        <is>
          <t>THERAPY_E</t>
        </is>
      </c>
      <c r="F492" s="10" t="n">
        <v>46241</v>
      </c>
      <c r="G492" s="10" t="n">
        <v>46281</v>
      </c>
      <c r="H492" t="n">
        <v>29</v>
      </c>
      <c r="I492">
        <f>NETWORKDAYS(F492,G492)</f>
        <v/>
      </c>
      <c r="J492">
        <f>IF(H492=I492,"OK","CHECK")</f>
        <v/>
      </c>
    </row>
    <row r="493">
      <c r="A493" t="inlineStr">
        <is>
          <t>OS03089</t>
        </is>
      </c>
      <c r="B493" t="inlineStr">
        <is>
          <t>Q3 2026</t>
        </is>
      </c>
      <c r="C493" t="inlineStr">
        <is>
          <t>PU07</t>
        </is>
      </c>
      <c r="D493" t="inlineStr">
        <is>
          <t>New patient</t>
        </is>
      </c>
      <c r="E493" t="inlineStr">
        <is>
          <t>THERAPY_D</t>
        </is>
      </c>
      <c r="F493" s="10" t="n">
        <v>46241</v>
      </c>
      <c r="G493" s="10" t="n">
        <v>46290</v>
      </c>
      <c r="H493" t="n">
        <v>36</v>
      </c>
      <c r="I493">
        <f>NETWORKDAYS(F493,G493)</f>
        <v/>
      </c>
      <c r="J493">
        <f>IF(H493=I493,"OK","CHECK")</f>
        <v/>
      </c>
    </row>
    <row r="494">
      <c r="A494" t="inlineStr">
        <is>
          <t>OS03091</t>
        </is>
      </c>
      <c r="B494" t="inlineStr">
        <is>
          <t>Q3 2026</t>
        </is>
      </c>
      <c r="C494" t="inlineStr">
        <is>
          <t>PU10</t>
        </is>
      </c>
      <c r="D494" t="inlineStr">
        <is>
          <t>New patient</t>
        </is>
      </c>
      <c r="E494" t="inlineStr">
        <is>
          <t>THERAPY_B</t>
        </is>
      </c>
      <c r="F494" s="10" t="n">
        <v>46241</v>
      </c>
      <c r="G494" s="10" t="n">
        <v>46273</v>
      </c>
      <c r="H494" t="n">
        <v>23</v>
      </c>
      <c r="I494">
        <f>NETWORKDAYS(F494,G494)</f>
        <v/>
      </c>
      <c r="J494">
        <f>IF(H494=I494,"OK","CHECK")</f>
        <v/>
      </c>
    </row>
    <row r="495">
      <c r="A495" t="inlineStr">
        <is>
          <t>OS03093</t>
        </is>
      </c>
      <c r="B495" t="inlineStr">
        <is>
          <t>Q3 2026</t>
        </is>
      </c>
      <c r="C495" t="inlineStr">
        <is>
          <t>PU05</t>
        </is>
      </c>
      <c r="D495" t="inlineStr">
        <is>
          <t>New patient</t>
        </is>
      </c>
      <c r="E495" t="inlineStr">
        <is>
          <t>THERAPY_J</t>
        </is>
      </c>
      <c r="F495" s="10" t="n">
        <v>46241</v>
      </c>
      <c r="G495" s="10" t="n">
        <v>46268</v>
      </c>
      <c r="H495" t="n">
        <v>20</v>
      </c>
      <c r="I495">
        <f>NETWORKDAYS(F495,G495)</f>
        <v/>
      </c>
      <c r="J495">
        <f>IF(H495=I495,"OK","CHECK")</f>
        <v/>
      </c>
    </row>
    <row r="496">
      <c r="A496" t="inlineStr">
        <is>
          <t>OS03095</t>
        </is>
      </c>
      <c r="B496" t="inlineStr">
        <is>
          <t>Q3 2026</t>
        </is>
      </c>
      <c r="C496" t="inlineStr">
        <is>
          <t>PU99</t>
        </is>
      </c>
      <c r="D496" t="inlineStr">
        <is>
          <t>New patient</t>
        </is>
      </c>
      <c r="E496" t="inlineStr">
        <is>
          <t>THERAPY_C</t>
        </is>
      </c>
      <c r="F496" s="10" t="n">
        <v>46241</v>
      </c>
      <c r="G496" s="10" t="n">
        <v>46281</v>
      </c>
      <c r="H496" t="n">
        <v>29</v>
      </c>
      <c r="I496">
        <f>NETWORKDAYS(F496,G496)</f>
        <v/>
      </c>
      <c r="J496">
        <f>IF(H496=I496,"OK","CHECK")</f>
        <v/>
      </c>
    </row>
    <row r="497">
      <c r="A497" t="inlineStr">
        <is>
          <t>OS03097</t>
        </is>
      </c>
      <c r="B497" t="inlineStr">
        <is>
          <t>Q3 2026</t>
        </is>
      </c>
      <c r="C497" t="inlineStr">
        <is>
          <t>PU03</t>
        </is>
      </c>
      <c r="D497" t="inlineStr">
        <is>
          <t>New patient</t>
        </is>
      </c>
      <c r="E497" t="inlineStr">
        <is>
          <t>THERAPY_E</t>
        </is>
      </c>
      <c r="F497" s="10" t="n">
        <v>46241</v>
      </c>
      <c r="G497" s="10" t="n">
        <v>46280</v>
      </c>
      <c r="H497" t="n">
        <v>28</v>
      </c>
      <c r="I497">
        <f>NETWORKDAYS(F497,G497)</f>
        <v/>
      </c>
      <c r="J497">
        <f>IF(H497=I497,"OK","CHECK")</f>
        <v/>
      </c>
    </row>
    <row r="498">
      <c r="A498" t="inlineStr">
        <is>
          <t>OS03099</t>
        </is>
      </c>
      <c r="B498" t="inlineStr">
        <is>
          <t>Q3 2026</t>
        </is>
      </c>
      <c r="C498" t="inlineStr">
        <is>
          <t>PU02</t>
        </is>
      </c>
      <c r="D498" t="inlineStr">
        <is>
          <t>New patient</t>
        </is>
      </c>
      <c r="E498" t="inlineStr">
        <is>
          <t>THERAPY_A</t>
        </is>
      </c>
      <c r="F498" s="10" t="n">
        <v>46244</v>
      </c>
      <c r="G498" s="10" t="n">
        <v>46259</v>
      </c>
      <c r="H498" t="n">
        <v>12</v>
      </c>
      <c r="I498">
        <f>NETWORKDAYS(F498,G498)</f>
        <v/>
      </c>
      <c r="J498">
        <f>IF(H498=I498,"OK","CHECK")</f>
        <v/>
      </c>
    </row>
    <row r="499">
      <c r="A499" t="inlineStr">
        <is>
          <t>OS03100</t>
        </is>
      </c>
      <c r="B499" t="inlineStr">
        <is>
          <t>Q3 2026</t>
        </is>
      </c>
      <c r="C499" t="inlineStr">
        <is>
          <t>PU10</t>
        </is>
      </c>
      <c r="D499" t="inlineStr">
        <is>
          <t>New patient</t>
        </is>
      </c>
      <c r="E499" t="inlineStr">
        <is>
          <t>THERAPY_A</t>
        </is>
      </c>
      <c r="F499" s="10" t="n">
        <v>46244</v>
      </c>
      <c r="G499" s="10" t="n">
        <v>46255</v>
      </c>
      <c r="H499" t="n">
        <v>10</v>
      </c>
      <c r="I499">
        <f>NETWORKDAYS(F499,G499)</f>
        <v/>
      </c>
      <c r="J499">
        <f>IF(H499=I499,"OK","CHECK")</f>
        <v/>
      </c>
    </row>
    <row r="500">
      <c r="A500" t="inlineStr">
        <is>
          <t>OS03102</t>
        </is>
      </c>
      <c r="B500" t="inlineStr">
        <is>
          <t>Q3 2026</t>
        </is>
      </c>
      <c r="C500" t="inlineStr">
        <is>
          <t>PU07</t>
        </is>
      </c>
      <c r="D500" t="inlineStr">
        <is>
          <t>New patient</t>
        </is>
      </c>
      <c r="E500" t="inlineStr">
        <is>
          <t>THERAPY_A</t>
        </is>
      </c>
      <c r="F500" s="10" t="n">
        <v>46244</v>
      </c>
      <c r="G500" s="10" t="n">
        <v>46273</v>
      </c>
      <c r="H500" t="n">
        <v>22</v>
      </c>
      <c r="I500">
        <f>NETWORKDAYS(F500,G500)</f>
        <v/>
      </c>
      <c r="J500">
        <f>IF(H500=I500,"OK","CHECK")</f>
        <v/>
      </c>
    </row>
    <row r="501">
      <c r="A501" t="inlineStr">
        <is>
          <t>OS03104</t>
        </is>
      </c>
      <c r="B501" t="inlineStr">
        <is>
          <t>Q3 2026</t>
        </is>
      </c>
      <c r="C501" t="inlineStr">
        <is>
          <t>PU02</t>
        </is>
      </c>
      <c r="D501" t="inlineStr">
        <is>
          <t>New patient</t>
        </is>
      </c>
      <c r="E501" t="inlineStr">
        <is>
          <t>THERAPY_E</t>
        </is>
      </c>
      <c r="F501" s="10" t="n">
        <v>46244</v>
      </c>
      <c r="G501" s="10" t="n">
        <v>46265</v>
      </c>
      <c r="H501" t="n">
        <v>16</v>
      </c>
      <c r="I501">
        <f>NETWORKDAYS(F501,G501)</f>
        <v/>
      </c>
      <c r="J501">
        <f>IF(H501=I501,"OK","CHECK")</f>
        <v/>
      </c>
    </row>
    <row r="502">
      <c r="A502" t="inlineStr">
        <is>
          <t>OS03107</t>
        </is>
      </c>
      <c r="B502" t="inlineStr">
        <is>
          <t>Q3 2026</t>
        </is>
      </c>
      <c r="C502" t="inlineStr">
        <is>
          <t>PU07</t>
        </is>
      </c>
      <c r="D502" t="inlineStr">
        <is>
          <t>New patient</t>
        </is>
      </c>
      <c r="E502" t="inlineStr">
        <is>
          <t>THERAPY_C</t>
        </is>
      </c>
      <c r="F502" s="10" t="n">
        <v>46245</v>
      </c>
      <c r="G502" s="10" t="n">
        <v>46283</v>
      </c>
      <c r="H502" t="n">
        <v>29</v>
      </c>
      <c r="I502">
        <f>NETWORKDAYS(F502,G502)</f>
        <v/>
      </c>
      <c r="J502">
        <f>IF(H502=I502,"OK","CHECK")</f>
        <v/>
      </c>
    </row>
    <row r="503">
      <c r="A503" t="inlineStr">
        <is>
          <t>OS03108</t>
        </is>
      </c>
      <c r="B503" t="inlineStr">
        <is>
          <t>Q3 2026</t>
        </is>
      </c>
      <c r="C503" t="inlineStr">
        <is>
          <t>PU06</t>
        </is>
      </c>
      <c r="D503" t="inlineStr">
        <is>
          <t>New patient</t>
        </is>
      </c>
      <c r="E503" t="inlineStr">
        <is>
          <t>THERAPY_B</t>
        </is>
      </c>
      <c r="F503" s="10" t="n">
        <v>46245</v>
      </c>
      <c r="G503" s="10" t="n">
        <v>46266</v>
      </c>
      <c r="H503" t="n">
        <v>16</v>
      </c>
      <c r="I503">
        <f>NETWORKDAYS(F503,G503)</f>
        <v/>
      </c>
      <c r="J503">
        <f>IF(H503=I503,"OK","CHECK")</f>
        <v/>
      </c>
    </row>
    <row r="504">
      <c r="A504" t="inlineStr">
        <is>
          <t>OS03111</t>
        </is>
      </c>
      <c r="B504" t="inlineStr">
        <is>
          <t>Q3 2026</t>
        </is>
      </c>
      <c r="C504" t="inlineStr">
        <is>
          <t>PU08</t>
        </is>
      </c>
      <c r="D504" t="inlineStr">
        <is>
          <t>New patient</t>
        </is>
      </c>
      <c r="E504" t="inlineStr">
        <is>
          <t>THERAPY_F</t>
        </is>
      </c>
      <c r="F504" s="10" t="n">
        <v>46246</v>
      </c>
      <c r="G504" s="10" t="n">
        <v>46274</v>
      </c>
      <c r="H504" t="n">
        <v>21</v>
      </c>
      <c r="I504">
        <f>NETWORKDAYS(F504,G504)</f>
        <v/>
      </c>
      <c r="J504">
        <f>IF(H504=I504,"OK","CHECK")</f>
        <v/>
      </c>
    </row>
    <row r="505">
      <c r="A505" t="inlineStr">
        <is>
          <t>OS03112</t>
        </is>
      </c>
      <c r="B505" t="inlineStr">
        <is>
          <t>Q3 2026</t>
        </is>
      </c>
      <c r="C505" t="inlineStr">
        <is>
          <t>PU05</t>
        </is>
      </c>
      <c r="D505" t="inlineStr">
        <is>
          <t>New patient</t>
        </is>
      </c>
      <c r="E505" t="inlineStr">
        <is>
          <t>THERAPY_G</t>
        </is>
      </c>
      <c r="F505" s="10" t="n">
        <v>46246</v>
      </c>
      <c r="G505" s="10" t="n">
        <v>46280</v>
      </c>
      <c r="H505" t="n">
        <v>25</v>
      </c>
      <c r="I505">
        <f>NETWORKDAYS(F505,G505)</f>
        <v/>
      </c>
      <c r="J505">
        <f>IF(H505=I505,"OK","CHECK")</f>
        <v/>
      </c>
    </row>
    <row r="506">
      <c r="A506" t="inlineStr">
        <is>
          <t>OS03115</t>
        </is>
      </c>
      <c r="B506" t="inlineStr">
        <is>
          <t>Q3 2026</t>
        </is>
      </c>
      <c r="C506" t="inlineStr">
        <is>
          <t>PU04</t>
        </is>
      </c>
      <c r="D506" t="inlineStr">
        <is>
          <t>New patient</t>
        </is>
      </c>
      <c r="E506" t="inlineStr">
        <is>
          <t>THERAPY_E</t>
        </is>
      </c>
      <c r="F506" s="10" t="n">
        <v>46246</v>
      </c>
      <c r="G506" s="10" t="n">
        <v>46276</v>
      </c>
      <c r="H506" t="n">
        <v>23</v>
      </c>
      <c r="I506">
        <f>NETWORKDAYS(F506,G506)</f>
        <v/>
      </c>
      <c r="J506">
        <f>IF(H506=I506,"OK","CHECK")</f>
        <v/>
      </c>
    </row>
    <row r="507">
      <c r="A507" t="inlineStr">
        <is>
          <t>OS03116</t>
        </is>
      </c>
      <c r="B507" t="inlineStr">
        <is>
          <t>Q3 2026</t>
        </is>
      </c>
      <c r="C507" t="inlineStr">
        <is>
          <t>PU05</t>
        </is>
      </c>
      <c r="D507" t="inlineStr">
        <is>
          <t>New patient</t>
        </is>
      </c>
      <c r="E507" t="inlineStr">
        <is>
          <t>THERAPY_I</t>
        </is>
      </c>
      <c r="F507" s="10" t="n">
        <v>46246</v>
      </c>
      <c r="G507" s="10" t="n">
        <v>46280</v>
      </c>
      <c r="H507" t="n">
        <v>25</v>
      </c>
      <c r="I507">
        <f>NETWORKDAYS(F507,G507)</f>
        <v/>
      </c>
      <c r="J507">
        <f>IF(H507=I507,"OK","CHECK")</f>
        <v/>
      </c>
    </row>
    <row r="508">
      <c r="A508" t="inlineStr">
        <is>
          <t>OS03119</t>
        </is>
      </c>
      <c r="B508" t="inlineStr">
        <is>
          <t>Q3 2026</t>
        </is>
      </c>
      <c r="C508" t="inlineStr">
        <is>
          <t>PU03</t>
        </is>
      </c>
      <c r="D508" t="inlineStr">
        <is>
          <t>New patient</t>
        </is>
      </c>
      <c r="E508" t="inlineStr">
        <is>
          <t>THERAPY_A</t>
        </is>
      </c>
      <c r="F508" s="10" t="n">
        <v>46246</v>
      </c>
      <c r="G508" s="10" t="n">
        <v>46279</v>
      </c>
      <c r="H508" t="n">
        <v>24</v>
      </c>
      <c r="I508">
        <f>NETWORKDAYS(F508,G508)</f>
        <v/>
      </c>
      <c r="J508">
        <f>IF(H508=I508,"OK","CHECK")</f>
        <v/>
      </c>
    </row>
    <row r="509">
      <c r="A509" t="inlineStr">
        <is>
          <t>OS03120</t>
        </is>
      </c>
      <c r="B509" t="inlineStr">
        <is>
          <t>Q3 2026</t>
        </is>
      </c>
      <c r="C509" t="inlineStr">
        <is>
          <t>PU07</t>
        </is>
      </c>
      <c r="D509" t="inlineStr">
        <is>
          <t>New patient</t>
        </is>
      </c>
      <c r="E509" t="inlineStr">
        <is>
          <t>THERAPY_F</t>
        </is>
      </c>
      <c r="F509" s="10" t="n">
        <v>46246</v>
      </c>
      <c r="G509" s="10" t="n">
        <v>46280</v>
      </c>
      <c r="H509" t="n">
        <v>25</v>
      </c>
      <c r="I509">
        <f>NETWORKDAYS(F509,G509)</f>
        <v/>
      </c>
      <c r="J509">
        <f>IF(H509=I509,"OK","CHECK")</f>
        <v/>
      </c>
    </row>
    <row r="510">
      <c r="A510" t="inlineStr">
        <is>
          <t>OS03121</t>
        </is>
      </c>
      <c r="B510" t="inlineStr">
        <is>
          <t>Q3 2026</t>
        </is>
      </c>
      <c r="C510" t="inlineStr">
        <is>
          <t>PU08</t>
        </is>
      </c>
      <c r="D510" t="inlineStr">
        <is>
          <t>New patient</t>
        </is>
      </c>
      <c r="E510" t="inlineStr">
        <is>
          <t>THERAPY_H</t>
        </is>
      </c>
      <c r="F510" s="10" t="n">
        <v>46247</v>
      </c>
      <c r="G510" s="10" t="n">
        <v>46282</v>
      </c>
      <c r="H510" t="n">
        <v>26</v>
      </c>
      <c r="I510">
        <f>NETWORKDAYS(F510,G510)</f>
        <v/>
      </c>
      <c r="J510">
        <f>IF(H510=I510,"OK","CHECK")</f>
        <v/>
      </c>
    </row>
    <row r="511">
      <c r="A511" t="inlineStr">
        <is>
          <t>OS03123</t>
        </is>
      </c>
      <c r="B511" t="inlineStr">
        <is>
          <t>Q3 2026</t>
        </is>
      </c>
      <c r="C511" t="inlineStr">
        <is>
          <t>PU01</t>
        </is>
      </c>
      <c r="D511" t="inlineStr">
        <is>
          <t>New patient</t>
        </is>
      </c>
      <c r="E511" t="inlineStr">
        <is>
          <t>THERAPY_E</t>
        </is>
      </c>
      <c r="F511" s="10" t="n">
        <v>46247</v>
      </c>
      <c r="G511" s="10" t="n">
        <v>46260</v>
      </c>
      <c r="H511" t="n">
        <v>10</v>
      </c>
      <c r="I511">
        <f>NETWORKDAYS(F511,G511)</f>
        <v/>
      </c>
      <c r="J511">
        <f>IF(H511=I511,"OK","CHECK")</f>
        <v/>
      </c>
    </row>
    <row r="512">
      <c r="A512" t="inlineStr">
        <is>
          <t>OS03124</t>
        </is>
      </c>
      <c r="B512" t="inlineStr">
        <is>
          <t>Q3 2026</t>
        </is>
      </c>
      <c r="C512" t="inlineStr">
        <is>
          <t>PU01</t>
        </is>
      </c>
      <c r="D512" t="inlineStr">
        <is>
          <t>New patient</t>
        </is>
      </c>
      <c r="E512" t="inlineStr">
        <is>
          <t>THERAPY_G</t>
        </is>
      </c>
      <c r="F512" s="10" t="n">
        <v>46247</v>
      </c>
      <c r="G512" s="10" t="n">
        <v>46269</v>
      </c>
      <c r="H512" t="n">
        <v>17</v>
      </c>
      <c r="I512">
        <f>NETWORKDAYS(F512,G512)</f>
        <v/>
      </c>
      <c r="J512">
        <f>IF(H512=I512,"OK","CHECK")</f>
        <v/>
      </c>
    </row>
    <row r="513">
      <c r="A513" t="inlineStr">
        <is>
          <t>OS03125</t>
        </is>
      </c>
      <c r="B513" t="inlineStr">
        <is>
          <t>Q3 2026</t>
        </is>
      </c>
      <c r="C513" t="inlineStr">
        <is>
          <t>PU01</t>
        </is>
      </c>
      <c r="D513" t="inlineStr">
        <is>
          <t>New patient</t>
        </is>
      </c>
      <c r="E513" t="inlineStr">
        <is>
          <t>THERAPY_D</t>
        </is>
      </c>
      <c r="F513" s="10" t="n">
        <v>46247</v>
      </c>
      <c r="G513" s="10" t="n">
        <v>46288</v>
      </c>
      <c r="H513" t="n">
        <v>30</v>
      </c>
      <c r="I513">
        <f>NETWORKDAYS(F513,G513)</f>
        <v/>
      </c>
      <c r="J513">
        <f>IF(H513=I513,"OK","CHECK")</f>
        <v/>
      </c>
    </row>
    <row r="514">
      <c r="A514" t="inlineStr">
        <is>
          <t>OS03126</t>
        </is>
      </c>
      <c r="B514" t="inlineStr">
        <is>
          <t>Q3 2026</t>
        </is>
      </c>
      <c r="C514" t="inlineStr">
        <is>
          <t>PU03</t>
        </is>
      </c>
      <c r="D514" t="inlineStr">
        <is>
          <t>New patient</t>
        </is>
      </c>
      <c r="E514" t="inlineStr">
        <is>
          <t>THERAPY_I</t>
        </is>
      </c>
      <c r="F514" s="10" t="n">
        <v>46247</v>
      </c>
      <c r="G514" s="10" t="n">
        <v>46273</v>
      </c>
      <c r="H514" t="n">
        <v>19</v>
      </c>
      <c r="I514">
        <f>NETWORKDAYS(F514,G514)</f>
        <v/>
      </c>
      <c r="J514">
        <f>IF(H514=I514,"OK","CHECK")</f>
        <v/>
      </c>
    </row>
    <row r="515">
      <c r="A515" t="inlineStr">
        <is>
          <t>OS03128</t>
        </is>
      </c>
      <c r="B515" t="inlineStr">
        <is>
          <t>Q3 2026</t>
        </is>
      </c>
      <c r="C515" t="inlineStr">
        <is>
          <t>PU99</t>
        </is>
      </c>
      <c r="D515" t="inlineStr">
        <is>
          <t>New patient</t>
        </is>
      </c>
      <c r="E515" t="inlineStr">
        <is>
          <t>THERAPY_B</t>
        </is>
      </c>
      <c r="F515" s="10" t="n">
        <v>46248</v>
      </c>
      <c r="G515" s="10" t="n">
        <v>46268</v>
      </c>
      <c r="H515" t="n">
        <v>15</v>
      </c>
      <c r="I515">
        <f>NETWORKDAYS(F515,G515)</f>
        <v/>
      </c>
      <c r="J515">
        <f>IF(H515=I515,"OK","CHECK")</f>
        <v/>
      </c>
    </row>
    <row r="516">
      <c r="A516" t="inlineStr">
        <is>
          <t>OS03129</t>
        </is>
      </c>
      <c r="B516" t="inlineStr">
        <is>
          <t>Q3 2026</t>
        </is>
      </c>
      <c r="C516" t="inlineStr">
        <is>
          <t>PU01</t>
        </is>
      </c>
      <c r="D516" t="inlineStr">
        <is>
          <t>New patient</t>
        </is>
      </c>
      <c r="E516" t="inlineStr">
        <is>
          <t>THERAPY_B</t>
        </is>
      </c>
      <c r="F516" s="10" t="n">
        <v>46248</v>
      </c>
      <c r="G516" s="10" t="n">
        <v>46279</v>
      </c>
      <c r="H516" t="n">
        <v>22</v>
      </c>
      <c r="I516">
        <f>NETWORKDAYS(F516,G516)</f>
        <v/>
      </c>
      <c r="J516">
        <f>IF(H516=I516,"OK","CHECK")</f>
        <v/>
      </c>
    </row>
    <row r="517">
      <c r="A517" t="inlineStr">
        <is>
          <t>OS03131</t>
        </is>
      </c>
      <c r="B517" t="inlineStr">
        <is>
          <t>Q3 2026</t>
        </is>
      </c>
      <c r="C517" t="inlineStr">
        <is>
          <t>PU08</t>
        </is>
      </c>
      <c r="D517" t="inlineStr">
        <is>
          <t>New patient</t>
        </is>
      </c>
      <c r="E517" t="inlineStr">
        <is>
          <t>THERAPY_F</t>
        </is>
      </c>
      <c r="F517" s="10" t="n">
        <v>46248</v>
      </c>
      <c r="G517" s="10" t="n">
        <v>46267</v>
      </c>
      <c r="H517" t="n">
        <v>14</v>
      </c>
      <c r="I517">
        <f>NETWORKDAYS(F517,G517)</f>
        <v/>
      </c>
      <c r="J517">
        <f>IF(H517=I517,"OK","CHECK")</f>
        <v/>
      </c>
    </row>
    <row r="518">
      <c r="A518" t="inlineStr">
        <is>
          <t>OS03134</t>
        </is>
      </c>
      <c r="B518" t="inlineStr">
        <is>
          <t>Q3 2026</t>
        </is>
      </c>
      <c r="C518" t="inlineStr">
        <is>
          <t>PU06</t>
        </is>
      </c>
      <c r="D518" t="inlineStr">
        <is>
          <t>New patient</t>
        </is>
      </c>
      <c r="E518" t="inlineStr">
        <is>
          <t>THERAPY_I</t>
        </is>
      </c>
      <c r="F518" s="10" t="n">
        <v>46251</v>
      </c>
      <c r="G518" s="10" t="n">
        <v>46265</v>
      </c>
      <c r="H518" t="n">
        <v>11</v>
      </c>
      <c r="I518">
        <f>NETWORKDAYS(F518,G518)</f>
        <v/>
      </c>
      <c r="J518">
        <f>IF(H518=I518,"OK","CHECK")</f>
        <v/>
      </c>
    </row>
    <row r="519">
      <c r="A519" t="inlineStr">
        <is>
          <t>OS03136</t>
        </is>
      </c>
      <c r="B519" t="inlineStr">
        <is>
          <t>Q3 2026</t>
        </is>
      </c>
      <c r="C519" t="inlineStr">
        <is>
          <t>PU05</t>
        </is>
      </c>
      <c r="D519" t="inlineStr">
        <is>
          <t>New patient</t>
        </is>
      </c>
      <c r="E519" t="inlineStr">
        <is>
          <t>THERAPY_I</t>
        </is>
      </c>
      <c r="F519" s="10" t="n">
        <v>46251</v>
      </c>
      <c r="G519" s="10" t="n">
        <v>46281</v>
      </c>
      <c r="H519" t="n">
        <v>23</v>
      </c>
      <c r="I519">
        <f>NETWORKDAYS(F519,G519)</f>
        <v/>
      </c>
      <c r="J519">
        <f>IF(H519=I519,"OK","CHECK")</f>
        <v/>
      </c>
    </row>
    <row r="520">
      <c r="A520" t="inlineStr">
        <is>
          <t>OS03137</t>
        </is>
      </c>
      <c r="B520" t="inlineStr">
        <is>
          <t>Q3 2026</t>
        </is>
      </c>
      <c r="C520" t="inlineStr">
        <is>
          <t>PU10</t>
        </is>
      </c>
      <c r="D520" t="inlineStr">
        <is>
          <t>New patient</t>
        </is>
      </c>
      <c r="E520" t="inlineStr">
        <is>
          <t>THERAPY_F</t>
        </is>
      </c>
      <c r="F520" s="10" t="n">
        <v>46251</v>
      </c>
      <c r="G520" s="10" t="n">
        <v>46280</v>
      </c>
      <c r="H520" t="n">
        <v>22</v>
      </c>
      <c r="I520">
        <f>NETWORKDAYS(F520,G520)</f>
        <v/>
      </c>
      <c r="J520">
        <f>IF(H520=I520,"OK","CHECK")</f>
        <v/>
      </c>
    </row>
    <row r="521">
      <c r="A521" t="inlineStr">
        <is>
          <t>OS03139</t>
        </is>
      </c>
      <c r="B521" t="inlineStr">
        <is>
          <t>Q3 2026</t>
        </is>
      </c>
      <c r="C521" t="inlineStr">
        <is>
          <t>PU03</t>
        </is>
      </c>
      <c r="D521" t="inlineStr">
        <is>
          <t>New patient</t>
        </is>
      </c>
      <c r="E521" t="inlineStr">
        <is>
          <t>THERAPY_E</t>
        </is>
      </c>
      <c r="F521" s="10" t="n">
        <v>46252</v>
      </c>
      <c r="G521" s="10" t="n">
        <v>46283</v>
      </c>
      <c r="H521" t="n">
        <v>24</v>
      </c>
      <c r="I521">
        <f>NETWORKDAYS(F521,G521)</f>
        <v/>
      </c>
      <c r="J521">
        <f>IF(H521=I521,"OK","CHECK")</f>
        <v/>
      </c>
    </row>
    <row r="522">
      <c r="A522" t="inlineStr">
        <is>
          <t>OS03142</t>
        </is>
      </c>
      <c r="B522" t="inlineStr">
        <is>
          <t>Q3 2026</t>
        </is>
      </c>
      <c r="C522" t="inlineStr">
        <is>
          <t>PU02</t>
        </is>
      </c>
      <c r="D522" t="inlineStr">
        <is>
          <t>New patient</t>
        </is>
      </c>
      <c r="E522" t="inlineStr">
        <is>
          <t>THERAPY_B</t>
        </is>
      </c>
      <c r="F522" s="10" t="n">
        <v>46252</v>
      </c>
      <c r="G522" s="10" t="n">
        <v>46279</v>
      </c>
      <c r="H522" t="n">
        <v>20</v>
      </c>
      <c r="I522">
        <f>NETWORKDAYS(F522,G522)</f>
        <v/>
      </c>
      <c r="J522">
        <f>IF(H522=I522,"OK","CHECK")</f>
        <v/>
      </c>
    </row>
    <row r="523">
      <c r="A523" t="inlineStr">
        <is>
          <t>OS03143</t>
        </is>
      </c>
      <c r="B523" t="inlineStr">
        <is>
          <t>Q3 2026</t>
        </is>
      </c>
      <c r="C523" t="inlineStr">
        <is>
          <t>PU02</t>
        </is>
      </c>
      <c r="D523" t="inlineStr">
        <is>
          <t>New patient</t>
        </is>
      </c>
      <c r="E523" t="inlineStr">
        <is>
          <t>THERAPY_J</t>
        </is>
      </c>
      <c r="F523" s="10" t="n">
        <v>46252</v>
      </c>
      <c r="G523" s="10" t="n">
        <v>46268</v>
      </c>
      <c r="H523" t="n">
        <v>13</v>
      </c>
      <c r="I523">
        <f>NETWORKDAYS(F523,G523)</f>
        <v/>
      </c>
      <c r="J523">
        <f>IF(H523=I523,"OK","CHECK")</f>
        <v/>
      </c>
    </row>
    <row r="524">
      <c r="A524" t="inlineStr">
        <is>
          <t>OS03149</t>
        </is>
      </c>
      <c r="B524" t="inlineStr">
        <is>
          <t>Q3 2026</t>
        </is>
      </c>
      <c r="C524" t="inlineStr">
        <is>
          <t>PU02</t>
        </is>
      </c>
      <c r="D524" t="inlineStr">
        <is>
          <t>New patient</t>
        </is>
      </c>
      <c r="E524" t="inlineStr">
        <is>
          <t>THERAPY_A</t>
        </is>
      </c>
      <c r="F524" s="10" t="n">
        <v>46253</v>
      </c>
      <c r="G524" s="10" t="n">
        <v>46280</v>
      </c>
      <c r="H524" t="n">
        <v>20</v>
      </c>
      <c r="I524">
        <f>NETWORKDAYS(F524,G524)</f>
        <v/>
      </c>
      <c r="J524">
        <f>IF(H524=I524,"OK","CHECK")</f>
        <v/>
      </c>
    </row>
    <row r="525">
      <c r="A525" t="inlineStr">
        <is>
          <t>OS03152</t>
        </is>
      </c>
      <c r="B525" t="inlineStr">
        <is>
          <t>Q3 2026</t>
        </is>
      </c>
      <c r="C525" t="inlineStr">
        <is>
          <t>PU10</t>
        </is>
      </c>
      <c r="D525" t="inlineStr">
        <is>
          <t>New patient</t>
        </is>
      </c>
      <c r="E525" t="inlineStr">
        <is>
          <t>THERAPY_E</t>
        </is>
      </c>
      <c r="F525" s="10" t="n">
        <v>46253</v>
      </c>
      <c r="G525" s="10" t="n">
        <v>46266</v>
      </c>
      <c r="H525" t="n">
        <v>10</v>
      </c>
      <c r="I525">
        <f>NETWORKDAYS(F525,G525)</f>
        <v/>
      </c>
      <c r="J525">
        <f>IF(H525=I525,"OK","CHECK")</f>
        <v/>
      </c>
    </row>
    <row r="526">
      <c r="A526" t="inlineStr">
        <is>
          <t>OS03153</t>
        </is>
      </c>
      <c r="B526" t="inlineStr">
        <is>
          <t>Q3 2026</t>
        </is>
      </c>
      <c r="C526" t="inlineStr">
        <is>
          <t>PU01</t>
        </is>
      </c>
      <c r="D526" t="inlineStr">
        <is>
          <t>New patient</t>
        </is>
      </c>
      <c r="E526" t="inlineStr">
        <is>
          <t>THERAPY_C</t>
        </is>
      </c>
      <c r="F526" s="10" t="n">
        <v>46253</v>
      </c>
      <c r="G526" s="10" t="n">
        <v>46279</v>
      </c>
      <c r="H526" t="n">
        <v>19</v>
      </c>
      <c r="I526">
        <f>NETWORKDAYS(F526,G526)</f>
        <v/>
      </c>
      <c r="J526">
        <f>IF(H526=I526,"OK","CHECK")</f>
        <v/>
      </c>
    </row>
    <row r="527">
      <c r="A527" t="inlineStr">
        <is>
          <t>OS03156</t>
        </is>
      </c>
      <c r="B527" t="inlineStr">
        <is>
          <t>Q3 2026</t>
        </is>
      </c>
      <c r="C527" t="inlineStr">
        <is>
          <t>PU10</t>
        </is>
      </c>
      <c r="D527" t="inlineStr">
        <is>
          <t>New patient</t>
        </is>
      </c>
      <c r="E527" t="inlineStr">
        <is>
          <t>THERAPY_J</t>
        </is>
      </c>
      <c r="F527" s="10" t="n">
        <v>46254</v>
      </c>
      <c r="G527" s="10" t="n">
        <v>46274</v>
      </c>
      <c r="H527" t="n">
        <v>15</v>
      </c>
      <c r="I527">
        <f>NETWORKDAYS(F527,G527)</f>
        <v/>
      </c>
      <c r="J527">
        <f>IF(H527=I527,"OK","CHECK")</f>
        <v/>
      </c>
    </row>
    <row r="528">
      <c r="A528" t="inlineStr">
        <is>
          <t>OS03159</t>
        </is>
      </c>
      <c r="B528" t="inlineStr">
        <is>
          <t>Q3 2026</t>
        </is>
      </c>
      <c r="C528" t="inlineStr">
        <is>
          <t>PU99</t>
        </is>
      </c>
      <c r="D528" t="inlineStr">
        <is>
          <t>New patient</t>
        </is>
      </c>
      <c r="E528" t="inlineStr">
        <is>
          <t>THERAPY_F</t>
        </is>
      </c>
      <c r="F528" s="10" t="n">
        <v>46254</v>
      </c>
      <c r="G528" s="10" t="n">
        <v>46262</v>
      </c>
      <c r="H528" t="n">
        <v>7</v>
      </c>
      <c r="I528">
        <f>NETWORKDAYS(F528,G528)</f>
        <v/>
      </c>
      <c r="J528">
        <f>IF(H528=I528,"OK","CHECK")</f>
        <v/>
      </c>
    </row>
    <row r="529">
      <c r="A529" t="inlineStr">
        <is>
          <t>OS03160</t>
        </is>
      </c>
      <c r="B529" t="inlineStr">
        <is>
          <t>Q3 2026</t>
        </is>
      </c>
      <c r="C529" t="inlineStr">
        <is>
          <t>PU99</t>
        </is>
      </c>
      <c r="D529" t="inlineStr">
        <is>
          <t>New patient</t>
        </is>
      </c>
      <c r="E529" t="inlineStr">
        <is>
          <t>THERAPY_A</t>
        </is>
      </c>
      <c r="F529" s="10" t="n">
        <v>46254</v>
      </c>
      <c r="G529" s="10" t="n">
        <v>46262</v>
      </c>
      <c r="H529" t="n">
        <v>7</v>
      </c>
      <c r="I529">
        <f>NETWORKDAYS(F529,G529)</f>
        <v/>
      </c>
      <c r="J529">
        <f>IF(H529=I529,"OK","CHECK")</f>
        <v/>
      </c>
    </row>
    <row r="530">
      <c r="A530" t="inlineStr">
        <is>
          <t>OS03166</t>
        </is>
      </c>
      <c r="B530" t="inlineStr">
        <is>
          <t>Q3 2026</t>
        </is>
      </c>
      <c r="C530" t="inlineStr">
        <is>
          <t>PU07</t>
        </is>
      </c>
      <c r="D530" t="inlineStr">
        <is>
          <t>New patient</t>
        </is>
      </c>
      <c r="E530" t="inlineStr">
        <is>
          <t>THERAPY_F</t>
        </is>
      </c>
      <c r="F530" s="10" t="n">
        <v>46255</v>
      </c>
      <c r="G530" s="10" t="n">
        <v>46279</v>
      </c>
      <c r="H530" t="n">
        <v>17</v>
      </c>
      <c r="I530">
        <f>NETWORKDAYS(F530,G530)</f>
        <v/>
      </c>
      <c r="J530">
        <f>IF(H530=I530,"OK","CHECK")</f>
        <v/>
      </c>
    </row>
    <row r="531">
      <c r="A531" t="inlineStr">
        <is>
          <t>OS03169</t>
        </is>
      </c>
      <c r="B531" t="inlineStr">
        <is>
          <t>Q3 2026</t>
        </is>
      </c>
      <c r="C531" t="inlineStr">
        <is>
          <t>PU07</t>
        </is>
      </c>
      <c r="D531" t="inlineStr">
        <is>
          <t>New patient</t>
        </is>
      </c>
      <c r="E531" t="inlineStr">
        <is>
          <t>THERAPY_F</t>
        </is>
      </c>
      <c r="F531" s="10" t="n">
        <v>46255</v>
      </c>
      <c r="G531" s="10" t="n">
        <v>46279</v>
      </c>
      <c r="H531" t="n">
        <v>17</v>
      </c>
      <c r="I531">
        <f>NETWORKDAYS(F531,G531)</f>
        <v/>
      </c>
      <c r="J531">
        <f>IF(H531=I531,"OK","CHECK")</f>
        <v/>
      </c>
    </row>
    <row r="532">
      <c r="A532" t="inlineStr">
        <is>
          <t>OS03170</t>
        </is>
      </c>
      <c r="B532" t="inlineStr">
        <is>
          <t>Q3 2026</t>
        </is>
      </c>
      <c r="C532" t="inlineStr">
        <is>
          <t>PU04</t>
        </is>
      </c>
      <c r="D532" t="inlineStr">
        <is>
          <t>New patient</t>
        </is>
      </c>
      <c r="E532" t="inlineStr">
        <is>
          <t>THERAPY_B</t>
        </is>
      </c>
      <c r="F532" s="10" t="n">
        <v>46258</v>
      </c>
      <c r="G532" s="10" t="n">
        <v>46294</v>
      </c>
      <c r="H532" t="n">
        <v>27</v>
      </c>
      <c r="I532">
        <f>NETWORKDAYS(F532,G532)</f>
        <v/>
      </c>
      <c r="J532">
        <f>IF(H532=I532,"OK","CHECK")</f>
        <v/>
      </c>
    </row>
    <row r="533">
      <c r="A533" t="inlineStr">
        <is>
          <t>OS03171</t>
        </is>
      </c>
      <c r="B533" t="inlineStr">
        <is>
          <t>Q3 2026</t>
        </is>
      </c>
      <c r="C533" t="inlineStr">
        <is>
          <t>PU09</t>
        </is>
      </c>
      <c r="D533" t="inlineStr">
        <is>
          <t>New patient</t>
        </is>
      </c>
      <c r="E533" t="inlineStr">
        <is>
          <t>THERAPY_D</t>
        </is>
      </c>
      <c r="F533" s="10" t="n">
        <v>46258</v>
      </c>
      <c r="G533" s="10" t="n">
        <v>46280</v>
      </c>
      <c r="H533" t="n">
        <v>17</v>
      </c>
      <c r="I533">
        <f>NETWORKDAYS(F533,G533)</f>
        <v/>
      </c>
      <c r="J533">
        <f>IF(H533=I533,"OK","CHECK")</f>
        <v/>
      </c>
    </row>
    <row r="534">
      <c r="A534" t="inlineStr">
        <is>
          <t>OS03172</t>
        </is>
      </c>
      <c r="B534" t="inlineStr">
        <is>
          <t>Q3 2026</t>
        </is>
      </c>
      <c r="C534" t="inlineStr">
        <is>
          <t>PU09</t>
        </is>
      </c>
      <c r="D534" t="inlineStr">
        <is>
          <t>New patient</t>
        </is>
      </c>
      <c r="E534" t="inlineStr">
        <is>
          <t>THERAPY_C</t>
        </is>
      </c>
      <c r="F534" s="10" t="n">
        <v>46258</v>
      </c>
      <c r="G534" s="10" t="n">
        <v>46283</v>
      </c>
      <c r="H534" t="n">
        <v>20</v>
      </c>
      <c r="I534">
        <f>NETWORKDAYS(F534,G534)</f>
        <v/>
      </c>
      <c r="J534">
        <f>IF(H534=I534,"OK","CHECK")</f>
        <v/>
      </c>
    </row>
    <row r="535">
      <c r="A535" t="inlineStr">
        <is>
          <t>OS03177</t>
        </is>
      </c>
      <c r="B535" t="inlineStr">
        <is>
          <t>Q3 2026</t>
        </is>
      </c>
      <c r="C535" t="inlineStr">
        <is>
          <t>PU99</t>
        </is>
      </c>
      <c r="D535" t="inlineStr">
        <is>
          <t>New patient</t>
        </is>
      </c>
      <c r="E535" t="inlineStr">
        <is>
          <t>THERAPY_J</t>
        </is>
      </c>
      <c r="F535" s="10" t="n">
        <v>46258</v>
      </c>
      <c r="G535" s="10" t="n">
        <v>46279</v>
      </c>
      <c r="H535" t="n">
        <v>16</v>
      </c>
      <c r="I535">
        <f>NETWORKDAYS(F535,G535)</f>
        <v/>
      </c>
      <c r="J535">
        <f>IF(H535=I535,"OK","CHECK")</f>
        <v/>
      </c>
    </row>
    <row r="536">
      <c r="A536" t="inlineStr">
        <is>
          <t>OS03186</t>
        </is>
      </c>
      <c r="B536" t="inlineStr">
        <is>
          <t>Q3 2026</t>
        </is>
      </c>
      <c r="C536" t="inlineStr">
        <is>
          <t>PU02</t>
        </is>
      </c>
      <c r="D536" t="inlineStr">
        <is>
          <t>New patient</t>
        </is>
      </c>
      <c r="E536" t="inlineStr">
        <is>
          <t>THERAPY_F</t>
        </is>
      </c>
      <c r="F536" s="10" t="n">
        <v>46260</v>
      </c>
      <c r="G536" s="10" t="n">
        <v>46294</v>
      </c>
      <c r="H536" t="n">
        <v>25</v>
      </c>
      <c r="I536">
        <f>NETWORKDAYS(F536,G536)</f>
        <v/>
      </c>
      <c r="J536">
        <f>IF(H536=I536,"OK","CHECK")</f>
        <v/>
      </c>
    </row>
    <row r="537">
      <c r="A537" t="inlineStr">
        <is>
          <t>OS03187</t>
        </is>
      </c>
      <c r="B537" t="inlineStr">
        <is>
          <t>Q3 2026</t>
        </is>
      </c>
      <c r="C537" t="inlineStr">
        <is>
          <t>PU03</t>
        </is>
      </c>
      <c r="D537" t="inlineStr">
        <is>
          <t>New patient</t>
        </is>
      </c>
      <c r="E537" t="inlineStr">
        <is>
          <t>THERAPY_H</t>
        </is>
      </c>
      <c r="F537" s="10" t="n">
        <v>46260</v>
      </c>
      <c r="G537" s="10" t="n">
        <v>46288</v>
      </c>
      <c r="H537" t="n">
        <v>21</v>
      </c>
      <c r="I537">
        <f>NETWORKDAYS(F537,G537)</f>
        <v/>
      </c>
      <c r="J537">
        <f>IF(H537=I537,"OK","CHECK")</f>
        <v/>
      </c>
    </row>
    <row r="538">
      <c r="A538" t="inlineStr">
        <is>
          <t>OS03191</t>
        </is>
      </c>
      <c r="B538" t="inlineStr">
        <is>
          <t>Q3 2026</t>
        </is>
      </c>
      <c r="C538" t="inlineStr">
        <is>
          <t>PU04</t>
        </is>
      </c>
      <c r="D538" t="inlineStr">
        <is>
          <t>New patient</t>
        </is>
      </c>
      <c r="E538" t="inlineStr">
        <is>
          <t>THERAPY_F</t>
        </is>
      </c>
      <c r="F538" s="10" t="n">
        <v>46260</v>
      </c>
      <c r="G538" s="10" t="n">
        <v>46283</v>
      </c>
      <c r="H538" t="n">
        <v>18</v>
      </c>
      <c r="I538">
        <f>NETWORKDAYS(F538,G538)</f>
        <v/>
      </c>
      <c r="J538">
        <f>IF(H538=I538,"OK","CHECK")</f>
        <v/>
      </c>
    </row>
    <row r="539">
      <c r="A539" t="inlineStr">
        <is>
          <t>OS03192</t>
        </is>
      </c>
      <c r="B539" t="inlineStr">
        <is>
          <t>Q3 2026</t>
        </is>
      </c>
      <c r="C539" t="inlineStr">
        <is>
          <t>PU02</t>
        </is>
      </c>
      <c r="D539" t="inlineStr">
        <is>
          <t>New patient</t>
        </is>
      </c>
      <c r="E539" t="inlineStr">
        <is>
          <t>THERAPY_A</t>
        </is>
      </c>
      <c r="F539" s="10" t="n">
        <v>46260</v>
      </c>
      <c r="G539" s="10" t="n">
        <v>46288</v>
      </c>
      <c r="H539" t="n">
        <v>21</v>
      </c>
      <c r="I539">
        <f>NETWORKDAYS(F539,G539)</f>
        <v/>
      </c>
      <c r="J539">
        <f>IF(H539=I539,"OK","CHECK")</f>
        <v/>
      </c>
    </row>
    <row r="540">
      <c r="A540" t="inlineStr">
        <is>
          <t>OS03196</t>
        </is>
      </c>
      <c r="B540" t="inlineStr">
        <is>
          <t>Q3 2026</t>
        </is>
      </c>
      <c r="C540" t="inlineStr">
        <is>
          <t>PU01</t>
        </is>
      </c>
      <c r="D540" t="inlineStr">
        <is>
          <t>New therapy</t>
        </is>
      </c>
      <c r="E540" t="inlineStr">
        <is>
          <t>THERAPY_I</t>
        </is>
      </c>
      <c r="F540" s="10" t="n">
        <v>46261</v>
      </c>
      <c r="G540" s="10" t="n">
        <v>46287</v>
      </c>
      <c r="H540" t="n">
        <v>19</v>
      </c>
      <c r="I540">
        <f>NETWORKDAYS(F540,G540)</f>
        <v/>
      </c>
      <c r="J540">
        <f>IF(H540=I540,"OK","CHECK")</f>
        <v/>
      </c>
    </row>
    <row r="541">
      <c r="A541" t="inlineStr">
        <is>
          <t>OS03202</t>
        </is>
      </c>
      <c r="B541" t="inlineStr">
        <is>
          <t>Q3 2026</t>
        </is>
      </c>
      <c r="C541" t="inlineStr">
        <is>
          <t>PU10</t>
        </is>
      </c>
      <c r="D541" t="inlineStr">
        <is>
          <t>New patient</t>
        </is>
      </c>
      <c r="E541" t="inlineStr">
        <is>
          <t>THERAPY_G</t>
        </is>
      </c>
      <c r="F541" s="10" t="n">
        <v>46262</v>
      </c>
      <c r="G541" s="10" t="n">
        <v>46274</v>
      </c>
      <c r="H541" t="n">
        <v>9</v>
      </c>
      <c r="I541">
        <f>NETWORKDAYS(F541,G541)</f>
        <v/>
      </c>
      <c r="J541">
        <f>IF(H541=I541,"OK","CHECK")</f>
        <v/>
      </c>
    </row>
    <row r="542">
      <c r="A542" t="inlineStr">
        <is>
          <t>OS03208</t>
        </is>
      </c>
      <c r="B542" t="inlineStr">
        <is>
          <t>Q3 2026</t>
        </is>
      </c>
      <c r="C542" t="inlineStr">
        <is>
          <t>PU99</t>
        </is>
      </c>
      <c r="D542" t="inlineStr">
        <is>
          <t>New patient</t>
        </is>
      </c>
      <c r="E542" t="inlineStr">
        <is>
          <t>THERAPY_H</t>
        </is>
      </c>
      <c r="F542" s="10" t="n">
        <v>46265</v>
      </c>
      <c r="G542" s="10" t="n">
        <v>46295</v>
      </c>
      <c r="H542" t="n">
        <v>23</v>
      </c>
      <c r="I542">
        <f>NETWORKDAYS(F542,G542)</f>
        <v/>
      </c>
      <c r="J542">
        <f>IF(H542=I542,"OK","CHECK")</f>
        <v/>
      </c>
    </row>
    <row r="543">
      <c r="A543" t="inlineStr">
        <is>
          <t>OS03210</t>
        </is>
      </c>
      <c r="B543" t="inlineStr">
        <is>
          <t>Q3 2026</t>
        </is>
      </c>
      <c r="C543" t="inlineStr">
        <is>
          <t>PU06</t>
        </is>
      </c>
      <c r="D543" t="inlineStr">
        <is>
          <t>New patient</t>
        </is>
      </c>
      <c r="E543" t="inlineStr">
        <is>
          <t>THERAPY_F</t>
        </is>
      </c>
      <c r="F543" s="10" t="n">
        <v>46265</v>
      </c>
      <c r="G543" s="10" t="n">
        <v>46294</v>
      </c>
      <c r="H543" t="n">
        <v>22</v>
      </c>
      <c r="I543">
        <f>NETWORKDAYS(F543,G543)</f>
        <v/>
      </c>
      <c r="J543">
        <f>IF(H543=I543,"OK","CHECK")</f>
        <v/>
      </c>
    </row>
    <row r="544">
      <c r="A544" t="inlineStr">
        <is>
          <t>OS03211</t>
        </is>
      </c>
      <c r="B544" t="inlineStr">
        <is>
          <t>Q3 2026</t>
        </is>
      </c>
      <c r="C544" t="inlineStr">
        <is>
          <t>PU01</t>
        </is>
      </c>
      <c r="D544" t="inlineStr">
        <is>
          <t>New patient</t>
        </is>
      </c>
      <c r="E544" t="inlineStr">
        <is>
          <t>THERAPY_B</t>
        </is>
      </c>
      <c r="F544" s="10" t="n">
        <v>46265</v>
      </c>
      <c r="G544" s="10" t="n">
        <v>46295</v>
      </c>
      <c r="H544" t="n">
        <v>23</v>
      </c>
      <c r="I544">
        <f>NETWORKDAYS(F544,G544)</f>
        <v/>
      </c>
      <c r="J544">
        <f>IF(H544=I544,"OK","CHECK")</f>
        <v/>
      </c>
    </row>
    <row r="545">
      <c r="A545" t="inlineStr">
        <is>
          <t>OS03217</t>
        </is>
      </c>
      <c r="B545" t="inlineStr">
        <is>
          <t>Q3 2026</t>
        </is>
      </c>
      <c r="C545" t="inlineStr">
        <is>
          <t>PU99</t>
        </is>
      </c>
      <c r="D545" t="inlineStr">
        <is>
          <t>New therapy</t>
        </is>
      </c>
      <c r="E545" t="inlineStr">
        <is>
          <t>THERAPY_I</t>
        </is>
      </c>
      <c r="F545" s="10" t="n">
        <v>46266</v>
      </c>
      <c r="G545" s="10" t="n">
        <v>46294</v>
      </c>
      <c r="H545" t="n">
        <v>21</v>
      </c>
      <c r="I545">
        <f>NETWORKDAYS(F545,G545)</f>
        <v/>
      </c>
      <c r="J545">
        <f>IF(H545=I545,"OK","CHECK")</f>
        <v/>
      </c>
    </row>
    <row r="546">
      <c r="A546" t="inlineStr">
        <is>
          <t>OS03219</t>
        </is>
      </c>
      <c r="B546" t="inlineStr">
        <is>
          <t>Q3 2026</t>
        </is>
      </c>
      <c r="C546" t="inlineStr">
        <is>
          <t>PU99</t>
        </is>
      </c>
      <c r="D546" t="inlineStr">
        <is>
          <t>New patient</t>
        </is>
      </c>
      <c r="E546" t="inlineStr">
        <is>
          <t>THERAPY_I</t>
        </is>
      </c>
      <c r="F546" s="10" t="n">
        <v>46267</v>
      </c>
      <c r="G546" s="10" t="n">
        <v>46287</v>
      </c>
      <c r="H546" t="n">
        <v>15</v>
      </c>
      <c r="I546">
        <f>NETWORKDAYS(F546,G546)</f>
        <v/>
      </c>
      <c r="J546">
        <f>IF(H546=I546,"OK","CHECK")</f>
        <v/>
      </c>
    </row>
    <row r="547">
      <c r="A547" t="inlineStr">
        <is>
          <t>OS03231</t>
        </is>
      </c>
      <c r="B547" t="inlineStr">
        <is>
          <t>Q3 2026</t>
        </is>
      </c>
      <c r="C547" t="inlineStr">
        <is>
          <t>PU07</t>
        </is>
      </c>
      <c r="D547" t="inlineStr">
        <is>
          <t>New patient</t>
        </is>
      </c>
      <c r="E547" t="inlineStr">
        <is>
          <t>THERAPY_E</t>
        </is>
      </c>
      <c r="F547" s="10" t="n">
        <v>46268</v>
      </c>
      <c r="G547" s="10" t="n">
        <v>46290</v>
      </c>
      <c r="H547" t="n">
        <v>17</v>
      </c>
      <c r="I547">
        <f>NETWORKDAYS(F547,G547)</f>
        <v/>
      </c>
      <c r="J547">
        <f>IF(H547=I547,"OK","CHECK")</f>
        <v/>
      </c>
    </row>
    <row r="548">
      <c r="A548" t="inlineStr">
        <is>
          <t>OS03232</t>
        </is>
      </c>
      <c r="B548" t="inlineStr">
        <is>
          <t>Q3 2026</t>
        </is>
      </c>
      <c r="C548" t="inlineStr">
        <is>
          <t>PU01</t>
        </is>
      </c>
      <c r="D548" t="inlineStr">
        <is>
          <t>New patient</t>
        </is>
      </c>
      <c r="E548" t="inlineStr">
        <is>
          <t>THERAPY_D</t>
        </is>
      </c>
      <c r="F548" s="10" t="n">
        <v>46268</v>
      </c>
      <c r="G548" s="10" t="n">
        <v>46294</v>
      </c>
      <c r="H548" t="n">
        <v>19</v>
      </c>
      <c r="I548">
        <f>NETWORKDAYS(F548,G548)</f>
        <v/>
      </c>
      <c r="J548">
        <f>IF(H548=I548,"OK","CHECK")</f>
        <v/>
      </c>
    </row>
    <row r="549">
      <c r="A549" t="inlineStr">
        <is>
          <t>OS03237</t>
        </is>
      </c>
      <c r="B549" t="inlineStr">
        <is>
          <t>Q3 2026</t>
        </is>
      </c>
      <c r="C549" t="inlineStr">
        <is>
          <t>PU06</t>
        </is>
      </c>
      <c r="D549" t="inlineStr">
        <is>
          <t>New patient</t>
        </is>
      </c>
      <c r="E549" t="inlineStr">
        <is>
          <t>THERAPY_F</t>
        </is>
      </c>
      <c r="F549" s="10" t="n">
        <v>46268</v>
      </c>
      <c r="G549" s="10" t="n">
        <v>46294</v>
      </c>
      <c r="H549" t="n">
        <v>19</v>
      </c>
      <c r="I549">
        <f>NETWORKDAYS(F549,G549)</f>
        <v/>
      </c>
      <c r="J549">
        <f>IF(H549=I549,"OK","CHECK")</f>
        <v/>
      </c>
    </row>
    <row r="550">
      <c r="A550" t="inlineStr">
        <is>
          <t>OS03240</t>
        </is>
      </c>
      <c r="B550" t="inlineStr">
        <is>
          <t>Q3 2026</t>
        </is>
      </c>
      <c r="C550" t="inlineStr">
        <is>
          <t>PU99</t>
        </is>
      </c>
      <c r="D550" t="inlineStr">
        <is>
          <t>New patient</t>
        </is>
      </c>
      <c r="E550" t="inlineStr">
        <is>
          <t>THERAPY_A</t>
        </is>
      </c>
      <c r="F550" s="10" t="n">
        <v>46269</v>
      </c>
      <c r="G550" s="10" t="n">
        <v>46290</v>
      </c>
      <c r="H550" t="n">
        <v>16</v>
      </c>
      <c r="I550">
        <f>NETWORKDAYS(F550,G550)</f>
        <v/>
      </c>
      <c r="J550">
        <f>IF(H550=I550,"OK","CHECK")</f>
        <v/>
      </c>
    </row>
    <row r="551">
      <c r="A551" t="inlineStr">
        <is>
          <t>OS03249</t>
        </is>
      </c>
      <c r="B551" t="inlineStr">
        <is>
          <t>Q3 2026</t>
        </is>
      </c>
      <c r="C551" t="inlineStr">
        <is>
          <t>PU01</t>
        </is>
      </c>
      <c r="D551" t="inlineStr">
        <is>
          <t>New patient</t>
        </is>
      </c>
      <c r="E551" t="inlineStr">
        <is>
          <t>THERAPY_B</t>
        </is>
      </c>
      <c r="F551" s="10" t="n">
        <v>46298</v>
      </c>
      <c r="G551" s="10" t="n">
        <v>46295</v>
      </c>
      <c r="H551" t="n">
        <v>-3</v>
      </c>
      <c r="I551">
        <f>NETWORKDAYS(F551,G551)</f>
        <v/>
      </c>
      <c r="J551">
        <f>IF(H551=I551,"OK","CHECK")</f>
        <v/>
      </c>
    </row>
    <row r="552">
      <c r="A552" t="inlineStr">
        <is>
          <t>OS03255</t>
        </is>
      </c>
      <c r="B552" t="inlineStr">
        <is>
          <t>Q3 2026</t>
        </is>
      </c>
      <c r="C552" t="inlineStr">
        <is>
          <t>PU10</t>
        </is>
      </c>
      <c r="D552" t="inlineStr">
        <is>
          <t>New patient</t>
        </is>
      </c>
      <c r="E552" t="inlineStr">
        <is>
          <t>THERAPY_B</t>
        </is>
      </c>
      <c r="F552" s="10" t="n">
        <v>46274</v>
      </c>
      <c r="G552" s="10" t="n">
        <v>46287</v>
      </c>
      <c r="H552" t="n">
        <v>10</v>
      </c>
      <c r="I552">
        <f>NETWORKDAYS(F552,G552)</f>
        <v/>
      </c>
      <c r="J552">
        <f>IF(H552=I552,"OK","CHECK")</f>
        <v/>
      </c>
    </row>
    <row r="553">
      <c r="A553" t="inlineStr">
        <is>
          <t>OS03256</t>
        </is>
      </c>
      <c r="B553" t="inlineStr">
        <is>
          <t>Q3 2026</t>
        </is>
      </c>
      <c r="C553" t="inlineStr">
        <is>
          <t>PU02</t>
        </is>
      </c>
      <c r="D553" t="inlineStr">
        <is>
          <t>New patient</t>
        </is>
      </c>
      <c r="E553" t="inlineStr">
        <is>
          <t>THERAPY_B</t>
        </is>
      </c>
      <c r="F553" s="10" t="n">
        <v>46274</v>
      </c>
      <c r="G553" s="10" t="n">
        <v>46290</v>
      </c>
      <c r="H553" t="n">
        <v>13</v>
      </c>
      <c r="I553">
        <f>NETWORKDAYS(F553,G553)</f>
        <v/>
      </c>
      <c r="J553">
        <f>IF(H553=I553,"OK","CHECK")</f>
        <v/>
      </c>
    </row>
    <row r="554">
      <c r="A554" t="inlineStr">
        <is>
          <t>OS03263</t>
        </is>
      </c>
      <c r="B554" t="inlineStr">
        <is>
          <t>Q3 2026</t>
        </is>
      </c>
      <c r="C554" t="inlineStr">
        <is>
          <t>PU03</t>
        </is>
      </c>
      <c r="D554" t="inlineStr">
        <is>
          <t>New patient</t>
        </is>
      </c>
      <c r="E554" t="inlineStr">
        <is>
          <t>THERAPY_G</t>
        </is>
      </c>
      <c r="F554" s="10" t="n">
        <v>46275</v>
      </c>
      <c r="G554" s="10" t="n">
        <v>46293</v>
      </c>
      <c r="H554" t="n">
        <v>13</v>
      </c>
      <c r="I554">
        <f>NETWORKDAYS(F554,G554)</f>
        <v/>
      </c>
      <c r="J554">
        <f>IF(H554=I554,"OK","CHECK")</f>
        <v/>
      </c>
    </row>
    <row r="555">
      <c r="A555" t="inlineStr">
        <is>
          <t>OS03264</t>
        </is>
      </c>
      <c r="B555" t="inlineStr">
        <is>
          <t>Q3 2026</t>
        </is>
      </c>
      <c r="C555" t="inlineStr">
        <is>
          <t>PU99</t>
        </is>
      </c>
      <c r="D555" t="inlineStr">
        <is>
          <t>New patient</t>
        </is>
      </c>
      <c r="E555" t="inlineStr">
        <is>
          <t>THERAPY_F</t>
        </is>
      </c>
      <c r="F555" s="10" t="n">
        <v>46275</v>
      </c>
      <c r="G555" s="10" t="n">
        <v>46294</v>
      </c>
      <c r="H555" t="n">
        <v>14</v>
      </c>
      <c r="I555">
        <f>NETWORKDAYS(F555,G555)</f>
        <v/>
      </c>
      <c r="J555">
        <f>IF(H555=I555,"OK","CHECK")</f>
        <v/>
      </c>
    </row>
    <row r="556">
      <c r="A556" t="inlineStr">
        <is>
          <t>OS03266</t>
        </is>
      </c>
      <c r="B556" t="inlineStr">
        <is>
          <t>Q3 2026</t>
        </is>
      </c>
      <c r="C556" t="inlineStr">
        <is>
          <t>PU01</t>
        </is>
      </c>
      <c r="D556" t="inlineStr">
        <is>
          <t>New patient</t>
        </is>
      </c>
      <c r="E556" t="inlineStr">
        <is>
          <t>THERAPY_G</t>
        </is>
      </c>
      <c r="F556" s="10" t="n">
        <v>46275</v>
      </c>
      <c r="G556" s="10" t="n">
        <v>46293</v>
      </c>
      <c r="H556" t="n">
        <v>13</v>
      </c>
      <c r="I556">
        <f>NETWORKDAYS(F556,G556)</f>
        <v/>
      </c>
      <c r="J556">
        <f>IF(H556=I556,"OK","CHECK")</f>
        <v/>
      </c>
    </row>
    <row r="557">
      <c r="A557" t="inlineStr">
        <is>
          <t>OS03277</t>
        </is>
      </c>
      <c r="B557" t="inlineStr">
        <is>
          <t>Q3 2026</t>
        </is>
      </c>
      <c r="C557" t="inlineStr">
        <is>
          <t>PU03</t>
        </is>
      </c>
      <c r="D557" t="inlineStr">
        <is>
          <t>New therapy</t>
        </is>
      </c>
      <c r="E557" t="inlineStr">
        <is>
          <t>THERAPY_E</t>
        </is>
      </c>
      <c r="F557" s="10" t="n">
        <v>46279</v>
      </c>
      <c r="G557" s="10" t="n">
        <v>46290</v>
      </c>
      <c r="H557" t="n">
        <v>10</v>
      </c>
      <c r="I557">
        <f>NETWORKDAYS(F557,G557)</f>
        <v/>
      </c>
      <c r="J557">
        <f>IF(H557=I557,"OK","CHECK")</f>
        <v/>
      </c>
    </row>
    <row r="558">
      <c r="A558" t="inlineStr">
        <is>
          <t>OS03292</t>
        </is>
      </c>
      <c r="B558" t="inlineStr">
        <is>
          <t>Q3 2026</t>
        </is>
      </c>
      <c r="C558" t="inlineStr">
        <is>
          <t>PU01</t>
        </is>
      </c>
      <c r="D558" t="inlineStr">
        <is>
          <t>New patient</t>
        </is>
      </c>
      <c r="E558" t="inlineStr">
        <is>
          <t>THERAPY_E</t>
        </is>
      </c>
      <c r="F558" s="10" t="n">
        <v>46280</v>
      </c>
      <c r="G558" s="10" t="n">
        <v>46290</v>
      </c>
      <c r="H558" t="n">
        <v>9</v>
      </c>
      <c r="I558">
        <f>NETWORKDAYS(F558,G558)</f>
        <v/>
      </c>
      <c r="J558">
        <f>IF(H558=I558,"OK","CHECK")</f>
        <v/>
      </c>
    </row>
    <row r="559">
      <c r="A559" t="inlineStr">
        <is>
          <t>OS03293</t>
        </is>
      </c>
      <c r="B559" t="inlineStr">
        <is>
          <t>Q3 2026</t>
        </is>
      </c>
      <c r="C559" t="inlineStr">
        <is>
          <t>PU04</t>
        </is>
      </c>
      <c r="D559" t="inlineStr">
        <is>
          <t>New patient</t>
        </is>
      </c>
      <c r="E559" t="inlineStr">
        <is>
          <t>THERAPY_E</t>
        </is>
      </c>
      <c r="F559" s="10" t="n">
        <v>46280</v>
      </c>
      <c r="G559" s="10" t="n">
        <v>46289</v>
      </c>
      <c r="H559" t="n">
        <v>8</v>
      </c>
      <c r="I559">
        <f>NETWORKDAYS(F559,G559)</f>
        <v/>
      </c>
      <c r="J559">
        <f>IF(H559=I559,"OK","CHECK")</f>
        <v/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40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4" t="inlineStr">
        <is>
          <t>SYNTHETIC DEMONSTRATION - not operational, medical or financial guidance | Coralline Infusion Network (fictional) | as of Oct 24, 2026</t>
        </is>
      </c>
    </row>
    <row r="3" ht="44" customHeight="1">
      <c r="A3" s="5" t="inlineStr">
        <is>
          <t>Quarter</t>
        </is>
      </c>
      <c r="B3" s="5" t="inlineStr">
        <is>
          <t>Therapy</t>
        </is>
      </c>
      <c r="C3" s="5" t="inlineStr">
        <is>
          <t>Label (mock)</t>
        </is>
      </c>
      <c r="D3" s="5" t="inlineStr">
        <is>
          <t>Treated visits</t>
        </is>
      </c>
      <c r="E3" s="5" t="inlineStr">
        <is>
          <t>Patients</t>
        </is>
      </c>
      <c r="F3" s="5" t="inlineStr">
        <is>
          <t>Line items</t>
        </is>
      </c>
      <c r="G3" s="5" t="inlineStr">
        <is>
          <t>Vials</t>
        </is>
      </c>
    </row>
    <row r="4">
      <c r="A4" t="inlineStr">
        <is>
          <t>Q2 2026</t>
        </is>
      </c>
      <c r="B4" t="inlineStr">
        <is>
          <t>THERAPY_I</t>
        </is>
      </c>
      <c r="C4" t="inlineStr">
        <is>
          <t>Complement-inhibitor infusion (mock)</t>
        </is>
      </c>
      <c r="D4" t="n">
        <v>229</v>
      </c>
      <c r="E4" t="n">
        <v>58</v>
      </c>
      <c r="F4" t="n">
        <v>246</v>
      </c>
      <c r="G4" t="n">
        <v>786</v>
      </c>
    </row>
    <row r="5">
      <c r="A5" t="inlineStr">
        <is>
          <t>Q2 2026</t>
        </is>
      </c>
      <c r="B5" t="inlineStr">
        <is>
          <t>THERAPY_B</t>
        </is>
      </c>
      <c r="C5" t="inlineStr">
        <is>
          <t>Anti-inflammatory biologic infusion (mock)</t>
        </is>
      </c>
      <c r="D5" t="n">
        <v>184</v>
      </c>
      <c r="E5" t="n">
        <v>102</v>
      </c>
      <c r="F5" t="n">
        <v>191</v>
      </c>
      <c r="G5" t="n">
        <v>640</v>
      </c>
    </row>
    <row r="6">
      <c r="A6" t="inlineStr">
        <is>
          <t>Q2 2026</t>
        </is>
      </c>
      <c r="B6" t="inlineStr">
        <is>
          <t>THERAPY_G</t>
        </is>
      </c>
      <c r="C6" t="inlineStr">
        <is>
          <t>Anti-IgE injection (mock)</t>
        </is>
      </c>
      <c r="D6" t="n">
        <v>180</v>
      </c>
      <c r="E6" t="n">
        <v>79</v>
      </c>
      <c r="F6" t="n">
        <v>191</v>
      </c>
      <c r="G6" t="n">
        <v>369</v>
      </c>
    </row>
    <row r="7">
      <c r="A7" t="inlineStr">
        <is>
          <t>Q2 2026</t>
        </is>
      </c>
      <c r="B7" t="inlineStr">
        <is>
          <t>THERAPY_F</t>
        </is>
      </c>
      <c r="C7" t="inlineStr">
        <is>
          <t>Anti-IL injection (mock)</t>
        </is>
      </c>
      <c r="D7" t="n">
        <v>151</v>
      </c>
      <c r="E7" t="n">
        <v>66</v>
      </c>
      <c r="F7" t="n">
        <v>151</v>
      </c>
      <c r="G7" t="n">
        <v>156</v>
      </c>
    </row>
    <row r="8">
      <c r="A8" t="inlineStr">
        <is>
          <t>Q2 2026</t>
        </is>
      </c>
      <c r="B8" t="inlineStr">
        <is>
          <t>THERAPY_D</t>
        </is>
      </c>
      <c r="C8" t="inlineStr">
        <is>
          <t>Integrin-blocker infusion (mock)</t>
        </is>
      </c>
      <c r="D8" t="n">
        <v>119</v>
      </c>
      <c r="E8" t="n">
        <v>55</v>
      </c>
      <c r="F8" t="n">
        <v>119</v>
      </c>
      <c r="G8" t="n">
        <v>119</v>
      </c>
    </row>
    <row r="9">
      <c r="A9" t="inlineStr">
        <is>
          <t>Q2 2026</t>
        </is>
      </c>
      <c r="B9" t="inlineStr">
        <is>
          <t>THERAPY_E</t>
        </is>
      </c>
      <c r="C9" t="inlineStr">
        <is>
          <t>IV iron replacement (mock)</t>
        </is>
      </c>
      <c r="D9" t="n">
        <v>112</v>
      </c>
      <c r="E9" t="n">
        <v>44</v>
      </c>
      <c r="F9" t="n">
        <v>114</v>
      </c>
      <c r="G9" t="n">
        <v>173</v>
      </c>
    </row>
    <row r="10">
      <c r="A10" t="inlineStr">
        <is>
          <t>Q2 2026</t>
        </is>
      </c>
      <c r="B10" t="inlineStr">
        <is>
          <t>THERAPY_A</t>
        </is>
      </c>
      <c r="C10" t="inlineStr">
        <is>
          <t>Immune globulin infusion (mock)</t>
        </is>
      </c>
      <c r="D10" t="n">
        <v>93</v>
      </c>
      <c r="E10" t="n">
        <v>44</v>
      </c>
      <c r="F10" t="n">
        <v>100</v>
      </c>
      <c r="G10" t="n">
        <v>444</v>
      </c>
    </row>
    <row r="11">
      <c r="A11" t="inlineStr">
        <is>
          <t>Q2 2026</t>
        </is>
      </c>
      <c r="B11" t="inlineStr">
        <is>
          <t>THERAPY_J</t>
        </is>
      </c>
      <c r="C11" t="inlineStr">
        <is>
          <t>IL-6 blocker infusion (mock)</t>
        </is>
      </c>
      <c r="D11" t="n">
        <v>83</v>
      </c>
      <c r="E11" t="n">
        <v>37</v>
      </c>
      <c r="F11" t="n">
        <v>84</v>
      </c>
      <c r="G11" t="n">
        <v>166</v>
      </c>
    </row>
    <row r="12">
      <c r="A12" t="inlineStr">
        <is>
          <t>Q2 2026</t>
        </is>
      </c>
      <c r="B12" t="inlineStr">
        <is>
          <t>THERAPY_C</t>
        </is>
      </c>
      <c r="C12" t="inlineStr">
        <is>
          <t>Anti-CD20 infusion (mock)</t>
        </is>
      </c>
      <c r="D12" t="n">
        <v>73</v>
      </c>
      <c r="E12" t="n">
        <v>54</v>
      </c>
      <c r="F12" t="n">
        <v>77</v>
      </c>
      <c r="G12" t="n">
        <v>101</v>
      </c>
    </row>
    <row r="13">
      <c r="A13" t="inlineStr">
        <is>
          <t>Q2 2026</t>
        </is>
      </c>
      <c r="B13" t="inlineStr">
        <is>
          <t>THERAPY_K</t>
        </is>
      </c>
      <c r="C13" t="inlineStr">
        <is>
          <t>Pre-medication bundle (mock)</t>
        </is>
      </c>
      <c r="D13" t="n">
        <v>52</v>
      </c>
      <c r="E13" t="n">
        <v>50</v>
      </c>
      <c r="F13" t="n">
        <v>52</v>
      </c>
      <c r="G13" t="n">
        <v>52</v>
      </c>
    </row>
    <row r="14">
      <c r="A14" t="inlineStr">
        <is>
          <t>Q2 2026</t>
        </is>
      </c>
      <c r="B14" t="inlineStr">
        <is>
          <t>THERAPY_H</t>
        </is>
      </c>
      <c r="C14" t="inlineStr">
        <is>
          <t>Bone-health injection (mock)</t>
        </is>
      </c>
      <c r="D14" t="n">
        <v>46</v>
      </c>
      <c r="E14" t="n">
        <v>46</v>
      </c>
      <c r="F14" t="n">
        <v>46</v>
      </c>
      <c r="G14" t="n">
        <v>46</v>
      </c>
    </row>
    <row r="15">
      <c r="A15" t="inlineStr">
        <is>
          <t>Q3 2026</t>
        </is>
      </c>
      <c r="B15" t="inlineStr">
        <is>
          <t>THERAPY_F</t>
        </is>
      </c>
      <c r="C15" t="inlineStr">
        <is>
          <t>Anti-IL injection (mock)</t>
        </is>
      </c>
      <c r="D15" t="n">
        <v>190</v>
      </c>
      <c r="E15" t="n">
        <v>79</v>
      </c>
      <c r="F15" t="n">
        <v>191</v>
      </c>
      <c r="G15" t="n">
        <v>201</v>
      </c>
    </row>
    <row r="16">
      <c r="A16" t="inlineStr">
        <is>
          <t>Q3 2026</t>
        </is>
      </c>
      <c r="B16" t="inlineStr">
        <is>
          <t>THERAPY_B</t>
        </is>
      </c>
      <c r="C16" t="inlineStr">
        <is>
          <t>Anti-inflammatory biologic infusion (mock)</t>
        </is>
      </c>
      <c r="D16" t="n">
        <v>183</v>
      </c>
      <c r="E16" t="n">
        <v>103</v>
      </c>
      <c r="F16" t="n">
        <v>195</v>
      </c>
      <c r="G16" t="n">
        <v>606</v>
      </c>
    </row>
    <row r="17">
      <c r="A17" t="inlineStr">
        <is>
          <t>Q3 2026</t>
        </is>
      </c>
      <c r="B17" t="inlineStr">
        <is>
          <t>THERAPY_I</t>
        </is>
      </c>
      <c r="C17" t="inlineStr">
        <is>
          <t>Complement-inhibitor infusion (mock)</t>
        </is>
      </c>
      <c r="D17" t="n">
        <v>161</v>
      </c>
      <c r="E17" t="n">
        <v>43</v>
      </c>
      <c r="F17" t="n">
        <v>174</v>
      </c>
      <c r="G17" t="n">
        <v>553</v>
      </c>
    </row>
    <row r="18">
      <c r="A18" t="inlineStr">
        <is>
          <t>Q3 2026</t>
        </is>
      </c>
      <c r="B18" t="inlineStr">
        <is>
          <t>THERAPY_G</t>
        </is>
      </c>
      <c r="C18" t="inlineStr">
        <is>
          <t>Anti-IgE injection (mock)</t>
        </is>
      </c>
      <c r="D18" t="n">
        <v>156</v>
      </c>
      <c r="E18" t="n">
        <v>70</v>
      </c>
      <c r="F18" t="n">
        <v>164</v>
      </c>
      <c r="G18" t="n">
        <v>337</v>
      </c>
    </row>
    <row r="19">
      <c r="A19" t="inlineStr">
        <is>
          <t>Q3 2026</t>
        </is>
      </c>
      <c r="B19" t="inlineStr">
        <is>
          <t>THERAPY_E</t>
        </is>
      </c>
      <c r="C19" t="inlineStr">
        <is>
          <t>IV iron replacement (mock)</t>
        </is>
      </c>
      <c r="D19" t="n">
        <v>151</v>
      </c>
      <c r="E19" t="n">
        <v>53</v>
      </c>
      <c r="F19" t="n">
        <v>158</v>
      </c>
      <c r="G19" t="n">
        <v>224</v>
      </c>
    </row>
    <row r="20">
      <c r="A20" t="inlineStr">
        <is>
          <t>Q3 2026</t>
        </is>
      </c>
      <c r="B20" t="inlineStr">
        <is>
          <t>THERAPY_A</t>
        </is>
      </c>
      <c r="C20" t="inlineStr">
        <is>
          <t>Immune globulin infusion (mock)</t>
        </is>
      </c>
      <c r="D20" t="n">
        <v>136</v>
      </c>
      <c r="E20" t="n">
        <v>61</v>
      </c>
      <c r="F20" t="n">
        <v>142</v>
      </c>
      <c r="G20" t="n">
        <v>643</v>
      </c>
    </row>
    <row r="21">
      <c r="A21" t="inlineStr">
        <is>
          <t>Q3 2026</t>
        </is>
      </c>
      <c r="B21" t="inlineStr">
        <is>
          <t>THERAPY_D</t>
        </is>
      </c>
      <c r="C21" t="inlineStr">
        <is>
          <t>Integrin-blocker infusion (mock)</t>
        </is>
      </c>
      <c r="D21" t="n">
        <v>127</v>
      </c>
      <c r="E21" t="n">
        <v>54</v>
      </c>
      <c r="F21" t="n">
        <v>128</v>
      </c>
      <c r="G21" t="n">
        <v>130</v>
      </c>
    </row>
    <row r="22">
      <c r="A22" t="inlineStr">
        <is>
          <t>Q3 2026</t>
        </is>
      </c>
      <c r="B22" t="inlineStr">
        <is>
          <t>THERAPY_J</t>
        </is>
      </c>
      <c r="C22" t="inlineStr">
        <is>
          <t>IL-6 blocker infusion (mock)</t>
        </is>
      </c>
      <c r="D22" t="n">
        <v>84</v>
      </c>
      <c r="E22" t="n">
        <v>39</v>
      </c>
      <c r="F22" t="n">
        <v>90</v>
      </c>
      <c r="G22" t="n">
        <v>164</v>
      </c>
    </row>
    <row r="23">
      <c r="A23" t="inlineStr">
        <is>
          <t>Q3 2026</t>
        </is>
      </c>
      <c r="B23" t="inlineStr">
        <is>
          <t>THERAPY_K</t>
        </is>
      </c>
      <c r="C23" t="inlineStr">
        <is>
          <t>Pre-medication bundle (mock)</t>
        </is>
      </c>
      <c r="D23" t="n">
        <v>43</v>
      </c>
      <c r="E23" t="n">
        <v>42</v>
      </c>
      <c r="F23" t="n">
        <v>43</v>
      </c>
      <c r="G23" t="n">
        <v>43</v>
      </c>
    </row>
    <row r="24">
      <c r="A24" t="inlineStr">
        <is>
          <t>Q3 2026</t>
        </is>
      </c>
      <c r="B24" t="inlineStr">
        <is>
          <t>THERAPY_H</t>
        </is>
      </c>
      <c r="C24" t="inlineStr">
        <is>
          <t>Bone-health injection (mock)</t>
        </is>
      </c>
      <c r="D24" t="n">
        <v>43</v>
      </c>
      <c r="E24" t="n">
        <v>43</v>
      </c>
      <c r="F24" t="n">
        <v>43</v>
      </c>
      <c r="G24" t="n">
        <v>43</v>
      </c>
    </row>
    <row r="25">
      <c r="A25" t="inlineStr">
        <is>
          <t>Q3 2026</t>
        </is>
      </c>
      <c r="B25" t="inlineStr">
        <is>
          <t>THERAPY_C</t>
        </is>
      </c>
      <c r="C25" t="inlineStr">
        <is>
          <t>Anti-CD20 infusion (mock)</t>
        </is>
      </c>
      <c r="D25" t="n">
        <v>42</v>
      </c>
      <c r="E25" t="n">
        <v>35</v>
      </c>
      <c r="F25" t="n">
        <v>44</v>
      </c>
      <c r="G25" t="n">
        <v>62</v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40" customWidth="1" min="2" max="2"/>
    <col width="14" customWidth="1" min="3" max="3"/>
    <col width="22" customWidth="1" min="4" max="4"/>
  </cols>
  <sheetData>
    <row r="1">
      <c r="A1" s="4" t="inlineStr">
        <is>
          <t>SYNTHETIC DEMONSTRATION - not operational, medical or financial guidance | Coralline Infusion Network (fictional) | as of Oct 24, 2026</t>
        </is>
      </c>
    </row>
    <row r="3" ht="44" customHeight="1">
      <c r="A3" s="5" t="inlineStr">
        <is>
          <t>Plan key</t>
        </is>
      </c>
      <c r="B3" s="5" t="inlineStr">
        <is>
          <t>Raw plan name (as typed in source)</t>
        </is>
      </c>
      <c r="C3" s="5" t="inlineStr">
        <is>
          <t>Umbrella</t>
        </is>
      </c>
      <c r="D3" s="5" t="inlineStr">
        <is>
          <t>Distinct patients served T12M (plan level)</t>
        </is>
      </c>
    </row>
    <row r="4">
      <c r="A4" t="inlineStr">
        <is>
          <t>PLN001</t>
        </is>
      </c>
      <c r="B4" t="inlineStr">
        <is>
          <t>Heronview Health PPO</t>
        </is>
      </c>
      <c r="C4" t="inlineStr">
        <is>
          <t>PU01</t>
        </is>
      </c>
      <c r="D4" t="n">
        <v>126</v>
      </c>
    </row>
    <row r="5">
      <c r="A5" t="inlineStr">
        <is>
          <t>PLN002</t>
        </is>
      </c>
      <c r="B5" t="inlineStr">
        <is>
          <t>Heronview Health HMO</t>
        </is>
      </c>
      <c r="C5" t="inlineStr">
        <is>
          <t>PU01</t>
        </is>
      </c>
      <c r="D5" t="n">
        <v>84</v>
      </c>
    </row>
    <row r="6">
      <c r="A6" t="inlineStr">
        <is>
          <t>PLN003</t>
        </is>
      </c>
      <c r="B6" t="inlineStr">
        <is>
          <t>HERONVIEW HEALTH</t>
        </is>
      </c>
      <c r="C6" t="inlineStr">
        <is>
          <t>PU01</t>
        </is>
      </c>
      <c r="D6" t="n">
        <v>26</v>
      </c>
    </row>
    <row r="7">
      <c r="A7" t="inlineStr">
        <is>
          <t>PLN004</t>
        </is>
      </c>
      <c r="B7" t="inlineStr">
        <is>
          <t>Saltgrass Mutual PPO</t>
        </is>
      </c>
      <c r="C7" t="inlineStr">
        <is>
          <t>PU02</t>
        </is>
      </c>
      <c r="D7" t="n">
        <v>91</v>
      </c>
    </row>
    <row r="8">
      <c r="A8" t="inlineStr">
        <is>
          <t>PLN005</t>
        </is>
      </c>
      <c r="B8" t="inlineStr">
        <is>
          <t>Saltgrass Mutual Choice</t>
        </is>
      </c>
      <c r="C8" t="inlineStr">
        <is>
          <t>PU02</t>
        </is>
      </c>
      <c r="D8" t="n">
        <v>57</v>
      </c>
    </row>
    <row r="9">
      <c r="A9" t="inlineStr">
        <is>
          <t>PLN006</t>
        </is>
      </c>
      <c r="B9" t="inlineStr">
        <is>
          <t>Saltgrass Mut.</t>
        </is>
      </c>
      <c r="C9" t="inlineStr">
        <is>
          <t>PU02</t>
        </is>
      </c>
      <c r="D9" t="n">
        <v>20</v>
      </c>
    </row>
    <row r="10">
      <c r="A10" t="inlineStr">
        <is>
          <t>PLN007</t>
        </is>
      </c>
      <c r="B10" t="inlineStr">
        <is>
          <t>Kestrel Shield MA HMO</t>
        </is>
      </c>
      <c r="C10" t="inlineStr">
        <is>
          <t>PU03</t>
        </is>
      </c>
      <c r="D10" t="n">
        <v>104</v>
      </c>
    </row>
    <row r="11">
      <c r="A11" t="inlineStr">
        <is>
          <t>PLN008</t>
        </is>
      </c>
      <c r="B11" t="inlineStr">
        <is>
          <t>Kestrel Shield MA PPO</t>
        </is>
      </c>
      <c r="C11" t="inlineStr">
        <is>
          <t>PU03</t>
        </is>
      </c>
      <c r="D11" t="n">
        <v>62</v>
      </c>
    </row>
    <row r="12">
      <c r="A12" t="inlineStr">
        <is>
          <t>PLN009</t>
        </is>
      </c>
      <c r="B12" t="inlineStr">
        <is>
          <t>Brightfen Advantage Plus</t>
        </is>
      </c>
      <c r="C12" t="inlineStr">
        <is>
          <t>PU04</t>
        </is>
      </c>
      <c r="D12" t="n">
        <v>102</v>
      </c>
    </row>
    <row r="13">
      <c r="A13" t="inlineStr">
        <is>
          <t>PLN010</t>
        </is>
      </c>
      <c r="B13" t="inlineStr">
        <is>
          <t>Brightfen Adv. Plus</t>
        </is>
      </c>
      <c r="C13" t="inlineStr">
        <is>
          <t>PU04</t>
        </is>
      </c>
      <c r="D13" t="n">
        <v>34</v>
      </c>
    </row>
    <row r="14">
      <c r="A14" t="inlineStr">
        <is>
          <t>PLN011</t>
        </is>
      </c>
      <c r="B14" t="inlineStr">
        <is>
          <t>Sandmere Medicaid Plan</t>
        </is>
      </c>
      <c r="C14" t="inlineStr">
        <is>
          <t>PU05</t>
        </is>
      </c>
      <c r="D14" t="n">
        <v>89</v>
      </c>
    </row>
    <row r="15">
      <c r="A15" t="inlineStr">
        <is>
          <t>PLN012</t>
        </is>
      </c>
      <c r="B15" t="inlineStr">
        <is>
          <t>Sandmere Medicaid - LTC</t>
        </is>
      </c>
      <c r="C15" t="inlineStr">
        <is>
          <t>PU05</t>
        </is>
      </c>
      <c r="D15" t="n">
        <v>18</v>
      </c>
    </row>
    <row r="16">
      <c r="A16" t="inlineStr">
        <is>
          <t>PLN013</t>
        </is>
      </c>
      <c r="B16" t="inlineStr">
        <is>
          <t>Cobaltine Commercial PPO</t>
        </is>
      </c>
      <c r="C16" t="inlineStr">
        <is>
          <t>PU06</t>
        </is>
      </c>
      <c r="D16" t="n">
        <v>67</v>
      </c>
    </row>
    <row r="17">
      <c r="A17" t="inlineStr">
        <is>
          <t>PLN014</t>
        </is>
      </c>
      <c r="B17" t="inlineStr">
        <is>
          <t>Cobaltine EPO</t>
        </is>
      </c>
      <c r="C17" t="inlineStr">
        <is>
          <t>PU06</t>
        </is>
      </c>
      <c r="D17" t="n">
        <v>38</v>
      </c>
    </row>
    <row r="18">
      <c r="A18" t="inlineStr">
        <is>
          <t>PLN015</t>
        </is>
      </c>
      <c r="B18" t="inlineStr">
        <is>
          <t>Ospreyline Senior Advantage</t>
        </is>
      </c>
      <c r="C18" t="inlineStr">
        <is>
          <t>PU07</t>
        </is>
      </c>
      <c r="D18" t="n">
        <v>78</v>
      </c>
    </row>
    <row r="19">
      <c r="A19" t="inlineStr">
        <is>
          <t>PLN016</t>
        </is>
      </c>
      <c r="B19" t="inlineStr">
        <is>
          <t>Ospreyline Senior Adv</t>
        </is>
      </c>
      <c r="C19" t="inlineStr">
        <is>
          <t>PU07</t>
        </is>
      </c>
      <c r="D19" t="n">
        <v>42</v>
      </c>
    </row>
    <row r="20">
      <c r="A20" t="inlineStr">
        <is>
          <t>PLN017</t>
        </is>
      </c>
      <c r="B20" t="inlineStr">
        <is>
          <t>Driftwell Health Alliance</t>
        </is>
      </c>
      <c r="C20" t="inlineStr">
        <is>
          <t>PU08</t>
        </is>
      </c>
      <c r="D20" t="n">
        <v>48</v>
      </c>
    </row>
    <row r="21">
      <c r="A21" t="inlineStr">
        <is>
          <t>PLN018</t>
        </is>
      </c>
      <c r="B21" t="inlineStr">
        <is>
          <t>Driftwell Marketplace Silver</t>
        </is>
      </c>
      <c r="C21" t="inlineStr">
        <is>
          <t>PU08</t>
        </is>
      </c>
      <c r="D21" t="n">
        <v>43</v>
      </c>
    </row>
    <row r="22">
      <c r="A22" t="inlineStr">
        <is>
          <t>PLN019</t>
        </is>
      </c>
      <c r="B22" t="inlineStr">
        <is>
          <t>Coastline Partners by Driftwell</t>
        </is>
      </c>
      <c r="C22" t="inlineStr">
        <is>
          <t>PU08</t>
        </is>
      </c>
      <c r="D22" t="n">
        <v>24</v>
      </c>
    </row>
    <row r="23">
      <c r="A23" t="inlineStr">
        <is>
          <t>PLN020</t>
        </is>
      </c>
      <c r="B23" t="inlineStr">
        <is>
          <t>Fernhollow Care Medicaid</t>
        </is>
      </c>
      <c r="C23" t="inlineStr">
        <is>
          <t>PU09</t>
        </is>
      </c>
      <c r="D23" t="n">
        <v>41</v>
      </c>
    </row>
    <row r="24">
      <c r="A24" t="inlineStr">
        <is>
          <t>PLN021</t>
        </is>
      </c>
      <c r="B24" t="inlineStr">
        <is>
          <t>Fernhollow Care Kids</t>
        </is>
      </c>
      <c r="C24" t="inlineStr">
        <is>
          <t>PU09</t>
        </is>
      </c>
      <c r="D24" t="n">
        <v>14</v>
      </c>
    </row>
    <row r="25">
      <c r="A25" t="inlineStr">
        <is>
          <t>PLN022</t>
        </is>
      </c>
      <c r="B25" t="inlineStr">
        <is>
          <t>Quillmont Federal Medicare Part B</t>
        </is>
      </c>
      <c r="C25" t="inlineStr">
        <is>
          <t>PU10</t>
        </is>
      </c>
      <c r="D25" t="n">
        <v>59</v>
      </c>
    </row>
    <row r="26">
      <c r="A26" t="inlineStr">
        <is>
          <t>PLN023</t>
        </is>
      </c>
      <c r="B26" t="inlineStr">
        <is>
          <t>Quillmont Medicare Supplement</t>
        </is>
      </c>
      <c r="C26" t="inlineStr">
        <is>
          <t>PU10</t>
        </is>
      </c>
      <c r="D26" t="n">
        <v>19</v>
      </c>
    </row>
    <row r="27">
      <c r="A27" t="inlineStr">
        <is>
          <t>PLN024</t>
        </is>
      </c>
      <c r="B27" t="inlineStr">
        <is>
          <t>Other Commercial - Small Group</t>
        </is>
      </c>
      <c r="C27" t="inlineStr">
        <is>
          <t>PU99</t>
        </is>
      </c>
      <c r="D27" t="n">
        <v>96</v>
      </c>
    </row>
    <row r="28">
      <c r="A28" t="inlineStr">
        <is>
          <t>PLN025</t>
        </is>
      </c>
      <c r="B28" t="inlineStr">
        <is>
          <t>Self-pay</t>
        </is>
      </c>
      <c r="C28" t="inlineStr">
        <is>
          <t>PU99</t>
        </is>
      </c>
      <c r="D28" t="n">
        <v>32</v>
      </c>
    </row>
    <row r="29">
      <c r="A29" t="inlineStr">
        <is>
          <t>PLN026</t>
        </is>
      </c>
      <c r="B29" t="inlineStr">
        <is>
          <t>Workers Comp (mock)</t>
        </is>
      </c>
      <c r="C29" t="inlineStr">
        <is>
          <t>PU99</t>
        </is>
      </c>
      <c r="D29" t="n">
        <v>26</v>
      </c>
    </row>
    <row r="30">
      <c r="A30" t="inlineStr">
        <is>
          <t>PLN027</t>
        </is>
      </c>
      <c r="B30" t="inlineStr">
        <is>
          <t xml:space="preserve">Heronview Hlth PPO </t>
        </is>
      </c>
      <c r="C30" t="inlineStr">
        <is>
          <t>UNMAPPED</t>
        </is>
      </c>
      <c r="D30" t="n">
        <v>2</v>
      </c>
    </row>
    <row r="31">
      <c r="A31" t="inlineStr">
        <is>
          <t>PLN028</t>
        </is>
      </c>
      <c r="B31" t="inlineStr">
        <is>
          <t>DRIFTWELL MKTPLACE</t>
        </is>
      </c>
      <c r="C31" t="inlineStr">
        <is>
          <t>UNMAPPED</t>
        </is>
      </c>
      <c r="D31" t="n">
        <v>1</v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4" t="inlineStr">
        <is>
          <t>SYNTHETIC DEMONSTRATION - not operational, medical or financial guidance | Coralline Infusion Network (fictional) | as of Oct 24, 2026</t>
        </is>
      </c>
    </row>
    <row r="3" ht="44" customHeight="1">
      <c r="A3" s="5" t="inlineStr">
        <is>
          <t>Request month</t>
        </is>
      </c>
      <c r="B3" s="5" t="inlineStr">
        <is>
          <t>Requests</t>
        </is>
      </c>
      <c r="C3" s="5" t="inlineStr">
        <is>
          <t>Resolved within 7 days</t>
        </is>
      </c>
      <c r="D3" s="5" t="inlineStr">
        <is>
          <t>Resolved within 14 days</t>
        </is>
      </c>
      <c r="E3" s="5" t="inlineStr">
        <is>
          <t>Resolved within 30 days</t>
        </is>
      </c>
      <c r="F3" s="5" t="inlineStr">
        <is>
          <t>Resolved within 45 days</t>
        </is>
      </c>
      <c r="G3" s="5" t="inlineStr">
        <is>
          <t>Resolved within 60 days</t>
        </is>
      </c>
      <c r="H3" s="5" t="inlineStr">
        <is>
          <t>Resolved by snapshot</t>
        </is>
      </c>
    </row>
    <row r="4">
      <c r="A4" t="inlineStr">
        <is>
          <t>2026-01</t>
        </is>
      </c>
      <c r="B4" t="n">
        <v>131</v>
      </c>
      <c r="C4" s="11" t="n">
        <v>0.3053435114503817</v>
      </c>
      <c r="D4" s="11" t="n">
        <v>0.7251908396946565</v>
      </c>
      <c r="E4" s="11" t="n">
        <v>0.9770992366412213</v>
      </c>
      <c r="F4" s="11" t="n">
        <v>1</v>
      </c>
      <c r="G4" s="11" t="n">
        <v>1</v>
      </c>
      <c r="H4" s="11" t="n">
        <v>1</v>
      </c>
    </row>
    <row r="5">
      <c r="A5" t="inlineStr">
        <is>
          <t>2026-02</t>
        </is>
      </c>
      <c r="B5" t="n">
        <v>116</v>
      </c>
      <c r="C5" s="11" t="n">
        <v>0.3275862068965517</v>
      </c>
      <c r="D5" s="11" t="n">
        <v>0.75</v>
      </c>
      <c r="E5" s="11" t="n">
        <v>0.9655172413793104</v>
      </c>
      <c r="F5" s="11" t="n">
        <v>1</v>
      </c>
      <c r="G5" s="11" t="n">
        <v>1</v>
      </c>
      <c r="H5" s="11" t="n">
        <v>1</v>
      </c>
    </row>
    <row r="6">
      <c r="A6" t="inlineStr">
        <is>
          <t>2026-03</t>
        </is>
      </c>
      <c r="B6" t="n">
        <v>140</v>
      </c>
      <c r="C6" s="11" t="n">
        <v>0.3357142857142857</v>
      </c>
      <c r="D6" s="11" t="n">
        <v>0.75</v>
      </c>
      <c r="E6" s="11" t="n">
        <v>0.9785714285714285</v>
      </c>
      <c r="F6" s="11" t="n">
        <v>1</v>
      </c>
      <c r="G6" s="11" t="n">
        <v>1</v>
      </c>
      <c r="H6" s="11" t="n">
        <v>1</v>
      </c>
    </row>
    <row r="7">
      <c r="A7" t="inlineStr">
        <is>
          <t>2026-04</t>
        </is>
      </c>
      <c r="B7" t="n">
        <v>153</v>
      </c>
      <c r="C7" s="11" t="n">
        <v>0.3725490196078431</v>
      </c>
      <c r="D7" s="11" t="n">
        <v>0.7516339869281046</v>
      </c>
      <c r="E7" s="11" t="n">
        <v>0.9869281045751634</v>
      </c>
      <c r="F7" s="11" t="n">
        <v>1</v>
      </c>
      <c r="G7" s="11" t="n">
        <v>1</v>
      </c>
      <c r="H7" s="11" t="n">
        <v>1</v>
      </c>
    </row>
    <row r="8">
      <c r="A8" t="inlineStr">
        <is>
          <t>2026-05</t>
        </is>
      </c>
      <c r="B8" t="n">
        <v>138</v>
      </c>
      <c r="C8" s="11" t="n">
        <v>0.3623188405797101</v>
      </c>
      <c r="D8" s="11" t="n">
        <v>0.7463768115942029</v>
      </c>
      <c r="E8" s="11" t="n">
        <v>0.9855072463768116</v>
      </c>
      <c r="F8" s="11" t="n">
        <v>1</v>
      </c>
      <c r="G8" s="11" t="n">
        <v>1</v>
      </c>
      <c r="H8" s="11" t="n">
        <v>1</v>
      </c>
    </row>
    <row r="9">
      <c r="A9" t="inlineStr">
        <is>
          <t>2026-06</t>
        </is>
      </c>
      <c r="B9" t="n">
        <v>151</v>
      </c>
      <c r="C9" s="11" t="n">
        <v>0.2913907284768212</v>
      </c>
      <c r="D9" s="11" t="n">
        <v>0.7615894039735099</v>
      </c>
      <c r="E9" s="11" t="n">
        <v>0.9735099337748344</v>
      </c>
      <c r="F9" s="11" t="n">
        <v>1</v>
      </c>
      <c r="G9" s="11" t="n">
        <v>1</v>
      </c>
      <c r="H9" s="11" t="n">
        <v>1</v>
      </c>
    </row>
    <row r="10">
      <c r="A10" t="inlineStr">
        <is>
          <t>2026-07</t>
        </is>
      </c>
      <c r="B10" t="n">
        <v>152</v>
      </c>
      <c r="C10" s="11" t="n">
        <v>0.3157894736842105</v>
      </c>
      <c r="D10" s="11" t="n">
        <v>0.7697368421052632</v>
      </c>
      <c r="E10" s="11" t="n">
        <v>0.993421052631579</v>
      </c>
      <c r="F10" s="11" t="n">
        <v>1</v>
      </c>
      <c r="G10" s="11" t="n">
        <v>1</v>
      </c>
      <c r="H10" s="11" t="n">
        <v>1</v>
      </c>
    </row>
    <row r="11">
      <c r="A11" t="inlineStr">
        <is>
          <t>2026-08</t>
        </is>
      </c>
      <c r="B11" t="n">
        <v>122</v>
      </c>
      <c r="C11" s="11" t="n">
        <v>0.319672131147541</v>
      </c>
      <c r="D11" s="11" t="n">
        <v>0.7131147540983607</v>
      </c>
      <c r="E11" s="11" t="n">
        <v>0.9672131147540983</v>
      </c>
      <c r="F11" s="11" t="n">
        <v>0.9918032786885246</v>
      </c>
      <c r="G11" s="11" t="n"/>
      <c r="H11" s="11" t="n">
        <v>1</v>
      </c>
    </row>
    <row r="12">
      <c r="A12" t="inlineStr">
        <is>
          <t>2026-09</t>
        </is>
      </c>
      <c r="B12" t="n">
        <v>134</v>
      </c>
      <c r="C12" s="11" t="n">
        <v>0.3582089552238806</v>
      </c>
      <c r="D12" s="11" t="n">
        <v>0.753731343283582</v>
      </c>
      <c r="E12" s="11" t="n"/>
      <c r="F12" s="11" t="n"/>
      <c r="G12" s="11" t="n"/>
      <c r="H12" s="11" t="n">
        <v>0.9850746268656716</v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0" customWidth="1" min="2" max="2"/>
    <col width="36" customWidth="1" min="3" max="3"/>
    <col width="44" customWidth="1" min="4" max="4"/>
    <col width="16" customWidth="1" min="5" max="5"/>
    <col width="16" customWidth="1" min="6" max="6"/>
    <col width="52" customWidth="1" min="7" max="7"/>
    <col width="44" customWidth="1" min="8" max="8"/>
  </cols>
  <sheetData>
    <row r="1">
      <c r="A1" s="4" t="inlineStr">
        <is>
          <t>SYNTHETIC DEMONSTRATION - not operational, medical or financial guidance | Coralline Infusion Network (fictional) | as of Oct 24, 2026</t>
        </is>
      </c>
    </row>
    <row r="3" ht="44" customHeight="1">
      <c r="A3" s="5" t="inlineStr">
        <is>
          <t>Rev</t>
        </is>
      </c>
      <c r="B3" s="5" t="inlineStr">
        <is>
          <t>Area</t>
        </is>
      </c>
      <c r="C3" s="5" t="inlineStr">
        <is>
          <t>Original draft</t>
        </is>
      </c>
      <c r="D3" s="5" t="inlineStr">
        <is>
          <t>Revised definition</t>
        </is>
      </c>
      <c r="E3" s="5" t="inlineStr">
        <is>
          <t>Before</t>
        </is>
      </c>
      <c r="F3" s="5" t="inlineStr">
        <is>
          <t>After</t>
        </is>
      </c>
      <c r="G3" s="5" t="inlineStr">
        <is>
          <t>Impact</t>
        </is>
      </c>
      <c r="H3" s="5" t="inlineStr">
        <is>
          <t>Why</t>
        </is>
      </c>
    </row>
    <row r="4">
      <c r="A4" t="inlineStr">
        <is>
          <t>R1</t>
        </is>
      </c>
      <c r="B4" t="inlineStr">
        <is>
          <t>New referrals</t>
        </is>
      </c>
      <c r="C4" t="inlineStr">
        <is>
          <t>Order Series Created Date (distinct order series)</t>
        </is>
      </c>
      <c r="D4" t="inlineStr">
        <is>
          <t>Patient Created Date (distinct patients)</t>
        </is>
      </c>
      <c r="E4" t="inlineStr">
        <is>
          <t>469</t>
        </is>
      </c>
      <c r="F4" t="inlineStr">
        <is>
          <t>316</t>
        </is>
      </c>
      <c r="G4" t="inlineStr">
        <is>
          <t>Q3 new business overstated by 153 (48%)</t>
        </is>
      </c>
      <c r="H4" t="inlineStr">
        <is>
          <t>Order series include renewals and therapy changes for existing patients</t>
        </is>
      </c>
    </row>
    <row r="5">
      <c r="A5" t="inlineStr">
        <is>
          <t>R2</t>
        </is>
      </c>
      <c r="B5" t="inlineStr">
        <is>
          <t>Authorization rate</t>
        </is>
      </c>
      <c r="C5" t="inlineStr">
        <is>
          <t>Approved / decided, using decisions dated in the quarter</t>
        </is>
      </c>
      <c r="D5" t="inlineStr">
        <is>
          <t>Approved / (approved + denied) for requests SUBMITTED in the quarter; pending shown separately; as-of date stated</t>
        </is>
      </c>
      <c r="E5" t="inlineStr">
        <is>
          <t>88.3%</t>
        </is>
      </c>
      <c r="F5" t="inlineStr">
        <is>
          <t>87.9%</t>
        </is>
      </c>
      <c r="G5" t="inlineStr">
        <is>
          <t>Q3 decisions included 46 requests submitted in earlier quarters</t>
        </is>
      </c>
      <c r="H5" t="inlineStr">
        <is>
          <t>A cohort must follow the requests it is measuring</t>
        </is>
      </c>
    </row>
    <row r="6">
      <c r="A6" t="inlineStr">
        <is>
          <t>R3</t>
        </is>
      </c>
      <c r="B6" t="inlineStr">
        <is>
          <t>Decision de-duplication</t>
        </is>
      </c>
      <c r="C6" t="inlineStr">
        <is>
          <t>COUNT(*) of final-decision rows</t>
        </is>
      </c>
      <c r="D6" t="inlineStr">
        <is>
          <t>COUNT(DISTINCT auth_key) - one final decision per request</t>
        </is>
      </c>
      <c r="E6" t="inlineStr">
        <is>
          <t>3,070 rows</t>
        </is>
      </c>
      <c r="F6" t="inlineStr">
        <is>
          <t>3,062 requests</t>
        </is>
      </c>
      <c r="G6" t="inlineStr">
        <is>
          <t>8 duplicate final-decision rows in the full history, 5 of them in Q2-Q3 2026</t>
        </is>
      </c>
      <c r="H6" t="inlineStr">
        <is>
          <t>Repeated decision entries must not count twice</t>
        </is>
      </c>
    </row>
    <row r="7">
      <c r="A7" t="inlineStr">
        <is>
          <t>R4</t>
        </is>
      </c>
      <c r="B7" t="inlineStr">
        <is>
          <t>Plan aliases</t>
        </is>
      </c>
      <c r="C7" t="inlineStr">
        <is>
          <t>Sum of plan-level distinct patients</t>
        </is>
      </c>
      <c r="D7" t="inlineStr">
        <is>
          <t>Group aliases to the umbrella first, then count distinct</t>
        </is>
      </c>
      <c r="E7" t="inlineStr">
        <is>
          <t>1,443</t>
        </is>
      </c>
      <c r="F7" t="inlineStr">
        <is>
          <t>1,424</t>
        </is>
      </c>
      <c r="G7" t="inlineStr">
        <is>
          <t>T12M patient-payer pairs overstated by 19; three-brand plan family 115 -&gt; 110</t>
        </is>
      </c>
      <c r="H7" t="inlineStr">
        <is>
          <t>A patient who moves between brands of one payer is one patient</t>
        </is>
      </c>
    </row>
    <row r="8">
      <c r="A8" t="inlineStr">
        <is>
          <t>R5</t>
        </is>
      </c>
      <c r="B8" t="inlineStr">
        <is>
          <t>Payer attribution</t>
        </is>
      </c>
      <c r="C8" t="inlineStr">
        <is>
          <t>Patient's CURRENT insurance</t>
        </is>
      </c>
      <c r="D8" t="inlineStr">
        <is>
          <t>Insurance in effect on the event date</t>
        </is>
      </c>
      <c r="E8" t="inlineStr">
        <is>
          <t>current plan</t>
        </is>
      </c>
      <c r="F8" t="inlineStr">
        <is>
          <t>plan at event</t>
        </is>
      </c>
      <c r="G8" t="inlineStr">
        <is>
          <t>76 of 316 Q3 new patients would have been assigned to a different payer</t>
        </is>
      </c>
      <c r="H8" t="inlineStr">
        <is>
          <t>Insurance changes; history must keep the payer that applied at the time</t>
        </is>
      </c>
    </row>
    <row r="9">
      <c r="A9" t="inlineStr">
        <is>
          <t>R6</t>
        </is>
      </c>
      <c r="B9" t="inlineStr">
        <is>
          <t>Quarter boundaries</t>
        </is>
      </c>
      <c r="C9" t="inlineStr">
        <is>
          <t>BETWEEN '2026-04-01' AND '2026-06-30' on timestamps</t>
        </is>
      </c>
      <c r="D9" t="inlineStr">
        <is>
          <t>Half-open [quarter start, next quarter start)</t>
        </is>
      </c>
      <c r="E9" t="inlineStr">
        <is>
          <t>436 Q2 requests</t>
        </is>
      </c>
      <c r="F9" t="inlineStr">
        <is>
          <t>442 Q2 requests</t>
        </is>
      </c>
      <c r="G9" t="inlineStr">
        <is>
          <t>6 requests on Jun 30 were silently dropped; 1 request stamped exactly at midnight would be double-counted by inclusive end dates</t>
        </is>
      </c>
      <c r="H9" t="inlineStr">
        <is>
          <t>Timestamps after midnight on the last day fall outside a date-only BETWEEN</t>
        </is>
      </c>
    </row>
    <row r="10">
      <c r="A10" t="inlineStr">
        <is>
          <t>R7</t>
        </is>
      </c>
      <c r="B10" t="inlineStr">
        <is>
          <t>PEF-to-chair averaging</t>
        </is>
      </c>
      <c r="C10" t="inlineStr">
        <is>
          <t>Average of payer averages</t>
        </is>
      </c>
      <c r="D10" t="inlineStr">
        <is>
          <t>Order-weighted mean, median and P90; negative lags excluded</t>
        </is>
      </c>
      <c r="E10" t="inlineStr">
        <is>
          <t>22.2 business days</t>
        </is>
      </c>
      <c r="F10" t="inlineStr">
        <is>
          <t>21.9 business days</t>
        </is>
      </c>
      <c r="G10" t="inlineStr">
        <is>
          <t>3 impossible negative lag(s) excluded across Q2-Q3; small payers no longer move the network figure</t>
        </is>
      </c>
      <c r="H10" t="inlineStr">
        <is>
          <t>Averages of averages give a 9-order payer the same weight as a 70-order payer</t>
        </is>
      </c>
    </row>
    <row r="11">
      <c r="A11" t="inlineStr">
        <is>
          <t>R8</t>
        </is>
      </c>
      <c r="B11" t="inlineStr">
        <is>
          <t>Unattributable records</t>
        </is>
      </c>
      <c r="C11" t="inlineStr">
        <is>
          <t>Dropped by the inner join to payer</t>
        </is>
      </c>
      <c r="D11" t="inlineStr">
        <is>
          <t>Kept visible as 'Unmapped alias' and 'No coverage on file'</t>
        </is>
      </c>
      <c r="E11" t="inlineStr">
        <is>
          <t>silently excluded</t>
        </is>
      </c>
      <c r="F11" t="inlineStr">
        <is>
          <t>reported</t>
        </is>
      </c>
      <c r="G11" t="inlineStr">
        <is>
          <t>6 coverage intervals use unmapped aliases; 4 treated visits had no coverage on file</t>
        </is>
      </c>
      <c r="H11" t="inlineStr">
        <is>
          <t>What cannot be attributed should be visible and routed for review, not lost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44" customWidth="1" min="2" max="2"/>
    <col width="80" customWidth="1" min="3" max="3"/>
    <col width="44" customWidth="1" min="4" max="4"/>
  </cols>
  <sheetData>
    <row r="1">
      <c r="A1" s="4" t="inlineStr">
        <is>
          <t>SYNTHETIC DEMONSTRATION - not operational, medical or financial guidance | Coralline Infusion Network (fictional) | as of Oct 24, 2026</t>
        </is>
      </c>
    </row>
    <row r="3" ht="44" customHeight="1">
      <c r="A3" s="5" t="inlineStr">
        <is>
          <t>Status</t>
        </is>
      </c>
      <c r="B3" s="5" t="inlineStr">
        <is>
          <t>Check</t>
        </is>
      </c>
      <c r="C3" s="5" t="inlineStr">
        <is>
          <t>Observed</t>
        </is>
      </c>
      <c r="D3" s="5" t="inlineStr">
        <is>
          <t>Rule</t>
        </is>
      </c>
    </row>
    <row r="4">
      <c r="A4" t="inlineStr">
        <is>
          <t>PASS</t>
        </is>
      </c>
      <c r="B4" t="inlineStr">
        <is>
          <t>Every request lands in exactly one quarter</t>
        </is>
      </c>
      <c r="C4" t="inlineStr">
        <is>
          <t>Q2 + Q3 requests = 850; requests in [Apr 1, Oct 1) = 850; 3 boundary-stamped requests included once</t>
        </is>
      </c>
      <c r="D4" t="inlineStr">
        <is>
          <t>Half-open quarter windows</t>
        </is>
      </c>
    </row>
    <row r="5">
      <c r="A5" t="inlineStr">
        <is>
          <t>PASS</t>
        </is>
      </c>
      <c r="B5" t="inlineStr">
        <is>
          <t>Each served patient is attributed to exactly one payer</t>
        </is>
      </c>
      <c r="C5" t="inlineStr">
        <is>
          <t>Sum across payers 1,291 = 1,291 distinct patients served (T12M)</t>
        </is>
      </c>
      <c r="D5" t="inlineStr">
        <is>
          <t>Attribute to the payer at the most recent treated visit in the window</t>
        </is>
      </c>
    </row>
    <row r="6">
      <c r="A6" t="inlineStr">
        <is>
          <t>WARN</t>
        </is>
      </c>
      <c r="B6" t="inlineStr">
        <is>
          <t>Overlapping coverage intervals resolved deterministically</t>
        </is>
      </c>
      <c r="C6" t="inlineStr">
        <is>
          <t>5 patients have overlapping intervals; the most recently started interval wins and the rows go to data cleanup</t>
        </is>
      </c>
      <c r="D6" t="inlineStr">
        <is>
          <t>One payer per event</t>
        </is>
      </c>
    </row>
    <row r="7">
      <c r="A7" t="inlineStr">
        <is>
          <t>WARN</t>
        </is>
      </c>
      <c r="B7" t="inlineStr">
        <is>
          <t>Treated visits with no coverage on file</t>
        </is>
      </c>
      <c r="C7" t="inlineStr">
        <is>
          <t>4 visits reported under 'No coverage on file' instead of being dropped</t>
        </is>
      </c>
      <c r="D7" t="inlineStr">
        <is>
          <t>Unattributable is a bucket, not a deletion</t>
        </is>
      </c>
    </row>
    <row r="8">
      <c r="A8" t="inlineStr">
        <is>
          <t>WARN</t>
        </is>
      </c>
      <c r="B8" t="inlineStr">
        <is>
          <t>Raw plan aliases missing from the umbrella map</t>
        </is>
      </c>
      <c r="C8" t="inlineStr">
        <is>
          <t>2 aliases unmapped ('Heronview Hlth PPO '; 'DRIFTWELL MKTPLACE'); proposed for analyst review, not auto-mapped</t>
        </is>
      </c>
      <c r="D8" t="inlineStr">
        <is>
          <t>Map by review, never by guess</t>
        </is>
      </c>
    </row>
    <row r="9">
      <c r="A9" t="inlineStr">
        <is>
          <t>PASS</t>
        </is>
      </c>
      <c r="B9" t="inlineStr">
        <is>
          <t>Distinct patients counted after alias grouping</t>
        </is>
      </c>
      <c r="C9" t="inlineStr">
        <is>
          <t>T12M patient-payer pairs overstated by 19; three-brand plan family 115 -&gt; 110</t>
        </is>
      </c>
      <c r="D9" t="inlineStr">
        <is>
          <t>Group plans to umbrella before COUNT(DISTINCT)</t>
        </is>
      </c>
    </row>
    <row r="10">
      <c r="A10" t="inlineStr">
        <is>
          <t>PASS</t>
        </is>
      </c>
      <c r="B10" t="inlineStr">
        <is>
          <t>Duplicate decision rows removed</t>
        </is>
      </c>
      <c r="C10" t="inlineStr">
        <is>
          <t>8 duplicate final-decision rows in the full history, 5 of them in Q2-Q3 2026</t>
        </is>
      </c>
      <c r="D10" t="inlineStr">
        <is>
          <t>COUNT(DISTINCT auth_key)</t>
        </is>
      </c>
    </row>
    <row r="11">
      <c r="A11" t="inlineStr">
        <is>
          <t>PASS</t>
        </is>
      </c>
      <c r="B11" t="inlineStr">
        <is>
          <t>Pending requests excluded from the approval-rate denominator</t>
        </is>
      </c>
      <c r="C11" t="inlineStr">
        <is>
          <t>2 Q3 requests still pending at Oct 24 are reported separately</t>
        </is>
      </c>
      <c r="D11" t="inlineStr">
        <is>
          <t>Rate = approved / (approved + denied)</t>
        </is>
      </c>
    </row>
    <row r="12">
      <c r="A12" t="inlineStr">
        <is>
          <t>PASS</t>
        </is>
      </c>
      <c r="B12" t="inlineStr">
        <is>
          <t>Business-day lead time matches Excel NETWORKDAYS</t>
        </is>
      </c>
      <c r="C12" t="inlineStr">
        <is>
          <t>556/556 orders match an independent Python NETWORKDAYS (inclusive of both endpoints)</t>
        </is>
      </c>
      <c r="D12" t="inlineStr">
        <is>
          <t>Weekdays only, both endpoints counted; the Excel tab recomputes it with NETWORKDAYS()</t>
        </is>
      </c>
    </row>
    <row r="13">
      <c r="A13" t="inlineStr">
        <is>
          <t>WARN</t>
        </is>
      </c>
      <c r="B13" t="inlineStr">
        <is>
          <t>Impossible negative lead times excluded</t>
        </is>
      </c>
      <c r="C13" t="inlineStr">
        <is>
          <t>3 order(s) in the Q2-Q3 cohort had an order date after the first treatment</t>
        </is>
      </c>
      <c r="D13" t="inlineStr">
        <is>
          <t>Exclude and route to source review</t>
        </is>
      </c>
    </row>
    <row r="14">
      <c r="A14" t="inlineStr">
        <is>
          <t>PASS</t>
        </is>
      </c>
      <c r="B14" t="inlineStr">
        <is>
          <t>Medication mix ranked by treated visits, not line items</t>
        </is>
      </c>
      <c r="C14" t="inlineStr">
        <is>
          <t>Q3: 1,372 given lines across therapies vs 1,273 treated visits</t>
        </is>
      </c>
      <c r="D14" t="inlineStr">
        <is>
          <t>Therapy-visit pairs, distinct appointments</t>
        </is>
      </c>
    </row>
    <row r="15">
      <c r="A15" t="inlineStr">
        <is>
          <t>WARN</t>
        </is>
      </c>
      <c r="B15" t="inlineStr">
        <is>
          <t>Prior-year comparison caveat</t>
        </is>
      </c>
      <c r="C15" t="inlineStr">
        <is>
          <t>T12M to Sep 30, 2025 = 864 vs 1,291 now. The synthetic network starts in July 2024 with no legacy patients, so the prior window includes ramp-up and overstates growth</t>
        </is>
      </c>
      <c r="D15" t="inlineStr">
        <is>
          <t>State the caveat next to the number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2026-10-25T00:02:01Z</dcterms:created>
  <dcterms:modified xsi:type="dcterms:W3CDTF">2026-10-25T00:02:01Z</dcterms:modified>
</cp:coreProperties>
</file>